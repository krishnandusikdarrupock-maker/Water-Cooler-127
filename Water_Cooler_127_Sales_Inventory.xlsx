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602737a7d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a488a09439f413c"/>
    <x:sheet xmlns:r="http://schemas.openxmlformats.org/officeDocument/2006/relationships" name="Dashboard" sheetId="2" r:id="R87d84c2ccfd24745"/>
    <x:sheet xmlns:r="http://schemas.openxmlformats.org/officeDocument/2006/relationships" name="Sales" sheetId="3" r:id="Re9c5170db69d4459"/>
    <x:sheet xmlns:r="http://schemas.openxmlformats.org/officeDocument/2006/relationships" name="Customers" sheetId="4" r:id="R7557726aff724fec"/>
    <x:sheet xmlns:r="http://schemas.openxmlformats.org/officeDocument/2006/relationships" name="Products" sheetId="5" r:id="Rf966778b1f904514"/>
    <x:sheet xmlns:r="http://schemas.openxmlformats.org/officeDocument/2006/relationships" name="Stock Movements" sheetId="6" r:id="R6d84552468844e43"/>
    <x:sheet xmlns:r="http://schemas.openxmlformats.org/officeDocument/2006/relationships" name="Customer History" sheetId="7" r:id="Rf6e1e7e1a31d430d"/>
    <x:sheet xmlns:r="http://schemas.openxmlformats.org/officeDocument/2006/relationships" name="Lists" sheetId="8" r:id="R2eb734986883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&quot;₹&quot;#,##0.00"/>
  </x:numFmts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1E526E"/>
      <x:name val="Carlito"/>
    </x:font>
    <x:font>
      <x:b/>
      <x:sz val="11"/>
      <x:color rgb="FFFFFFFF"/>
      <x:name val="Carlito"/>
    </x:font>
    <x:font>
      <x:sz val="11"/>
      <x:color rgb="FF1E526E"/>
      <x:name val="Carlito"/>
    </x:font>
    <x:font>
      <x:b/>
      <x:sz val="21"/>
      <x:color rgb="FF13263D"/>
      <x:name val="Carlito"/>
    </x:font>
    <x:font>
      <x:b/>
      <x:sz val="11"/>
      <x:name val="Carlito"/>
    </x:font>
    <x:font>
      <x:b/>
      <x:sz val="1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263D"/>
      </x:patternFill>
    </x:fill>
    <x:fill>
      <x:patternFill patternType="solid">
        <x:fgColor rgb="FFE8F5F5"/>
      </x:patternFill>
    </x:fill>
    <x:fill>
      <x:patternFill patternType="solid">
        <x:fgColor rgb="FF087E83"/>
      </x:patternFill>
    </x:fill>
    <x:fill>
      <x:patternFill patternType="solid">
        <x:fgColor rgb="FFFFF8E8"/>
      </x:patternFill>
    </x:fill>
    <x:fill>
      <x:patternFill patternType="solid">
        <x:fgColor rgb="FF1E526E"/>
      </x:patternFill>
    </x:fill>
    <x:fill>
      <x:patternFill patternType="solid">
        <x:fgColor rgb="FFEBF5F6"/>
      </x:patternFill>
    </x:fill>
    <x:fill>
      <x:patternFill patternType="solid">
        <x:fgColor rgb="FFFFF1D1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1" fontId="5" fillId="7" borderId="0" xfId="0" applyNumberFormat="1" applyFont="1" applyFill="1" applyBorder="1"/>
    <x:xf numFmtId="201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FDC99"/>
        </x:patternFill>
      </x:fill>
    </x:dxf>
    <x:dxf>
      <x:fill>
        <x:patternFill patternType="solid">
          <x:bgColor rgb="FFFFDC99"/>
        </x:patternFill>
      </x:fill>
    </x:dxf>
    <x:dxf>
      <x:fill>
        <x:patternFill patternType="solid">
          <x:bgColor rgb="FFFFDC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026580cde4bc4" /><Relationship Type="http://schemas.openxmlformats.org/officeDocument/2006/relationships/theme" Target="/xl/theme/theme1.xml" Id="Re556e19a16d74cc4" /><Relationship Type="http://schemas.openxmlformats.org/officeDocument/2006/relationships/sharedStrings" Target="/xl/sharedStrings.xml" Id="R3274fc871a0d43c3" /><Relationship Type="http://schemas.openxmlformats.org/officeDocument/2006/relationships/worksheet" Target="/xl/worksheets/sheet1.xml" Id="R3a488a09439f413c" /><Relationship Type="http://schemas.openxmlformats.org/officeDocument/2006/relationships/worksheet" Target="/xl/worksheets/sheet2.xml" Id="R87d84c2ccfd24745" /><Relationship Type="http://schemas.openxmlformats.org/officeDocument/2006/relationships/worksheet" Target="/xl/worksheets/sheet3.xml" Id="Re9c5170db69d4459" /><Relationship Type="http://schemas.openxmlformats.org/officeDocument/2006/relationships/worksheet" Target="/xl/worksheets/sheet4.xml" Id="R7557726aff724fec" /><Relationship Type="http://schemas.openxmlformats.org/officeDocument/2006/relationships/worksheet" Target="/xl/worksheets/sheet5.xml" Id="Rf966778b1f904514" /><Relationship Type="http://schemas.openxmlformats.org/officeDocument/2006/relationships/worksheet" Target="/xl/worksheets/sheet6.xml" Id="R6d84552468844e43" /><Relationship Type="http://schemas.openxmlformats.org/officeDocument/2006/relationships/worksheet" Target="/xl/worksheets/sheet7.xml" Id="Rf6e1e7e1a31d430d" /><Relationship Type="http://schemas.openxmlformats.org/officeDocument/2006/relationships/worksheet" Target="/xl/worksheets/sheet8.xml" Id="R2eb734986883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8" t="str">
        <x:v>WATER COOLER 127  ·  QUICK START</x:v>
      </x:c>
      <x:c r="B1" s="48"/>
      <x:c r="C1" s="48"/>
      <x:c r="D1" s="48"/>
      <x:c r="E1" s="48"/>
      <x:c r="F1" s="48"/>
      <x:c r="G1" s="48"/>
      <x:c r="H1" s="48"/>
    </x:row>
    <x:row r="2" ht="28" customHeight="1">
      <x:c r="A2" s="48"/>
      <x:c r="B2" s="48"/>
      <x:c r="C2" s="48"/>
      <x:c r="D2" s="48"/>
      <x:c r="E2" s="48"/>
      <x:c r="F2" s="48"/>
      <x:c r="G2" s="48"/>
      <x:c r="H2" s="48"/>
    </x:row>
    <x:row r="4" ht="38" customHeight="1">
      <x:c r="A4" s="35" t="str">
        <x:v>01  |  Customers</x:v>
      </x:c>
      <x:c r="B4" s="51" t="str">
        <x:v>Add one customer per row. Unique Customer ID; store name, phone, email and full address. No demo data included.</x:v>
      </x:c>
    </x:row>
    <x:row r="5" ht="38" customHeight="1">
      <x:c r="A5" s="35" t="str">
        <x:v>02  |  Products</x:v>
      </x:c>
      <x:c r="B5" s="51" t="str">
        <x:v>Add each model once with unique SKU, current price, opening stock and reorder level.</x:v>
      </x:c>
    </x:row>
    <x:row r="6" ht="38" customHeight="1">
      <x:c r="A6" s="35" t="str">
        <x:v>03  |  Sales</x:v>
      </x:c>
      <x:c r="B6" s="51" t="str">
        <x:v>Create one row per sold product (reuse Order ID for multi-item orders). Date, IDs and quantity are required.</x:v>
      </x:c>
    </x:row>
    <x:row r="7" ht="38" customHeight="1">
      <x:c r="A7" s="35" t="str">
        <x:v>04  |  IMPORTANT PRICE</x:v>
      </x:c>
      <x:c r="B7" s="51" t="str">
        <x:v>Column H shows CURRENT product price. At sale time COPY H → PASTE VALUES into I (Sale Unit Price). Never leave I blank for a completed sale.</x:v>
      </x:c>
    </x:row>
    <x:row r="8" ht="38" customHeight="1">
      <x:c r="A8" s="35" t="str">
        <x:v>05  |  Stock deduction</x:v>
      </x:c>
      <x:c r="B8" s="51" t="str">
        <x:v>Only sale rows marked Completed deduct stock. Pending and Cancelled lines do not deduct stock or count as revenue.</x:v>
      </x:c>
    </x:row>
    <x:row r="9" ht="38" customHeight="1">
      <x:c r="A9" s="35" t="str">
        <x:v>06  |  Stock Movements</x:v>
      </x:c>
      <x:c r="B9" s="51" t="str">
        <x:v>Record incoming stock as positive quantities; corrections/damage as negative quantities.</x:v>
      </x:c>
    </x:row>
    <x:row r="10" ht="38" customHeight="1">
      <x:c r="A10" s="35" t="str">
        <x:v>07  |  History</x:v>
      </x:c>
      <x:c r="B10" s="51" t="str">
        <x:v>Customers sheet calculates purchase counts, units, lifetime sales and latest date. Customer History shows the order lines.</x:v>
      </x:c>
    </x:row>
    <x:row r="11" ht="38" customHeight="1">
      <x:c r="A11" s="35" t="str">
        <x:v>08  |  Check alerts</x:v>
      </x:c>
      <x:c r="B11" s="51" t="str">
        <x:v>Products sheet flags stock &lt;= reorder level, negative stock, duplicate SKUs and invalid lookups. Dashboard displays KPIs.</x:v>
      </x:c>
    </x:row>
    <x:row r="12" ht="38" customHeight="1">
      <x:c r="A12" s="35" t="str">
        <x:v>09  |  Capacity</x:v>
      </x:c>
      <x:c r="B12" s="51" t="str">
        <x:v>Ready for 150 customer records, 105 products, 500 sale lines and 300 stock movements. Extend formulas/ranges before exceeding.</x:v>
      </x:c>
    </x:row>
    <x:row r="13" ht="38" customHeight="1">
      <x:c r="A13" s="35" t="str">
        <x:v>10  |  Excel version</x:v>
      </x:c>
      <x:c r="B13" s="51" t="str">
        <x:v>Customer History and dashboard low-stock list use FILTER and require Excel 365 or Excel 2021+; other sheets use standard formulas.</x:v>
      </x:c>
    </x:row>
    <x:row r="14" ht="38" customHeight="1">
      <x:c r="A14" s="35" t="str">
        <x:v>11  |  Macros</x:v>
      </x:c>
      <x:c r="B14" s="51" t="str">
        <x:v>None. This is an unlocked .xlsx. Yellow cells are manual inputs; blue/white formula columns update automatically.</x:v>
      </x:c>
    </x:row>
    <x:row r="15" ht="38" customHeight="1">
      <x:c r="A15" s="35" t="str">
        <x:v>12  |  Reporting note</x:v>
      </x:c>
      <x:c r="B15" s="51" t="str">
        <x:v>A sale row is a line item. Completed Lines is not distinct order count; multiple items may share one Order ID.</x:v>
      </x:c>
    </x:row>
    <x:row r="16" ht="38" customHeight="1">
      <x:c r="A16" s="35" t="str">
        <x:v>13  |  Historical data</x:v>
      </x:c>
      <x:c r="B16" s="51" t="str">
        <x:v>Do not change a past sale's Sale Unit Price after checkout. Changing current product price affects reference price only.</x:v>
      </x:c>
    </x:row>
    <x:row r="17" ht="38" customHeight="1">
      <x:c r="A17" s="35" t="str">
        <x:v>14  |  Validity checks</x:v>
      </x:c>
      <x:c r="B17" s="51" t="str">
        <x:v>Blank or unknown customer / SKU IDs appear as INVALID; check IDs before completing sales. Avoid duplicate IDs.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7" customHeight="1">
      <x:c r="A1" s="3" t="str">
        <x:v>WATER COOLER 127  |  OPERATIONS DASHBOARD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3">
      <x:c r="A3" s="32" t="str">
        <x:v>Live overview · Completed sales only · Enter data in the yellow cells on each register</x:v>
      </x:c>
      <x:c r="B3" s="32"/>
      <x:c r="C3" s="32"/>
      <x:c r="D3" s="32"/>
      <x:c r="E3" s="32"/>
      <x:c r="F3" s="32"/>
      <x:c r="G3" s="32"/>
      <x:c r="H3" s="32"/>
    </x:row>
    <x:row r="5" ht="27" customHeight="1">
      <x:c r="A5" s="35" t="str">
        <x:v>Completed Revenue</x:v>
      </x:c>
      <x:c r="B5" s="35"/>
      <x:c r="C5" s="35" t="str">
        <x:v>Units Sold</x:v>
      </x:c>
      <x:c r="D5" s="35"/>
      <x:c r="E5" s="35" t="str">
        <x:v>Completed Lines</x:v>
      </x:c>
      <x:c r="F5" s="35"/>
      <x:c r="G5" s="35" t="str">
        <x:v>Low / Negative Stock</x:v>
      </x:c>
      <x:c r="H5" s="35"/>
    </x:row>
    <x:row r="6" ht="29" customHeight="1">
      <x:c r="A6" s="42" t="n">
        <x:f>SUMIFS(Sales!$J$6:$J$505,Sales!$K$6:$K$505,"Completed")</x:f>
        <x:v>0</x:v>
      </x:c>
      <x:c r="B6" s="39"/>
      <x:c r="C6" s="39" t="n">
        <x:f>SUMIFS(Sales!$G$6:$G$505,Sales!$K$6:$K$505,"Completed")</x:f>
        <x:v>0</x:v>
      </x:c>
      <x:c r="D6" s="39"/>
      <x:c r="E6" s="39" t="n">
        <x:f>COUNTIF(Sales!$K$6:$K$505,"Completed")</x:f>
        <x:v>0</x:v>
      </x:c>
      <x:c r="F6" s="39"/>
      <x:c r="G6" s="39" t="n">
        <x:f>COUNTIF(Products!$J$6:$J$110,"LOW STOCK")+COUNTIF(Products!$J$6:$J$110,"NEGATIVE STOCK")</x:f>
        <x:v>0</x:v>
      </x:c>
      <x:c r="H6" s="39"/>
    </x:row>
    <x:row r="7" ht="29" customHeight="1">
      <x:c r="A7" s="39"/>
      <x:c r="B7" s="39"/>
      <x:c r="C7" s="39"/>
      <x:c r="D7" s="39"/>
      <x:c r="E7" s="39"/>
      <x:c r="F7" s="39"/>
      <x:c r="G7" s="39"/>
      <x:c r="H7" s="39"/>
    </x:row>
    <x:row r="9" ht="27" customHeight="1">
      <x:c r="A9" s="35" t="str">
        <x:v>Customers</x:v>
      </x:c>
      <x:c r="B9" s="35"/>
      <x:c r="C9" s="35" t="str">
        <x:v>Active Models</x:v>
      </x:c>
      <x:c r="D9" s="35"/>
      <x:c r="E9" s="35" t="str">
        <x:v>Stock Units</x:v>
      </x:c>
      <x:c r="F9" s="35"/>
      <x:c r="G9" s="35" t="str">
        <x:v>Pending Lines</x:v>
      </x:c>
      <x:c r="H9" s="35"/>
    </x:row>
    <x:row r="10" ht="29" customHeight="1">
      <x:c r="A10" s="39" t="n">
        <x:f>COUNTA(Customers!$A$6:$A$155)</x:f>
        <x:v>0</x:v>
      </x:c>
      <x:c r="B10" s="39"/>
      <x:c r="C10" s="39" t="n">
        <x:f>COUNTA(Products!$A$6:$A$110)</x:f>
        <x:v>0</x:v>
      </x:c>
      <x:c r="D10" s="39"/>
      <x:c r="E10" s="39" t="n">
        <x:f>SUM(Products!$I$6:$I$110)</x:f>
        <x:v>0</x:v>
      </x:c>
      <x:c r="F10" s="39"/>
      <x:c r="G10" s="39" t="n">
        <x:f>COUNTIF(Sales!$K$6:$K$505,"Pending")</x:f>
        <x:v>0</x:v>
      </x:c>
      <x:c r="H10" s="39"/>
    </x:row>
    <x:row r="11" ht="29" customHeight="1">
      <x:c r="A11" s="39"/>
      <x:c r="B11" s="39"/>
      <x:c r="C11" s="39"/>
      <x:c r="D11" s="39"/>
      <x:c r="E11" s="39"/>
      <x:c r="F11" s="39"/>
      <x:c r="G11" s="39"/>
      <x:c r="H11" s="39"/>
    </x:row>
    <x:row r="15">
      <x:c r="A15" s="13" t="str">
        <x:v>Inventory watch</x:v>
      </x:c>
      <x:c r="B15" s="13" t="str">
        <x:v>SKU</x:v>
      </x:c>
      <x:c r="C15" s="13" t="str">
        <x:v>Model</x:v>
      </x:c>
      <x:c r="D15" s="13" t="str">
        <x:v>On hand</x:v>
      </x:c>
      <x:c r="E15" s="13" t="str">
        <x:v>Reorder</x:v>
      </x:c>
    </x:row>
    <x:row r="16">
      <x:c r="A16" t="str">
        <x:f>IFERROR(_xlfn._xlws.FILTER(CHOOSE({1,2,3,4,5},Products!J6:J110,Products!A6:A110,Products!B6:B110,Products!I6:I110,Products!F6:F110),(Products!A6:A110&lt;&gt;"")*(Products!I6:I110&lt;=Products!F6:F110),"All stocked models above reorder level"),"Open Products to see stock alerts")</x:f>
        <x:v>All stocked models above reorder level</x:v>
      </x:c>
    </x:row>
    <x:row r="35">
      <x:c r="A35" s="30" t="str">
        <x:v>How to use</x:v>
      </x:c>
      <x:c r="B35" s="30" t="str">
        <x:v>1. Create IDs</x:v>
      </x:c>
      <x:c r="C35" s="30" t="str">
        <x:v>2. Register sales</x:v>
      </x:c>
      <x:c r="D35" s="30" t="str">
        <x:v>3. Set sale price</x:v>
      </x:c>
      <x:c r="E35" s="30" t="str">
        <x:v>4. Complete order</x:v>
      </x:c>
      <x:c r="F35" s="30" t="str">
        <x:v>5. Track stock</x:v>
      </x:c>
      <x:c r="G35" s="30" t="str"/>
      <x:c r="H35" s="30" t="str"/>
    </x:row>
    <x:row r="36">
      <x:c r="A36" t="str">
        <x:v>Read START HERE</x:v>
      </x:c>
      <x:c r="B36" t="str">
        <x:v>Customer and SKU IDs</x:v>
      </x:c>
      <x:c r="C36" t="str">
        <x:v>One row per item</x:v>
      </x:c>
      <x:c r="D36" t="str">
        <x:v>Paste price as value</x:v>
      </x:c>
      <x:c r="E36" t="str">
        <x:v>Choose Completed</x:v>
      </x:c>
      <x:c r="F36" t="str">
        <x:v>Receive in movements</x:v>
      </x:c>
      <x:c r="G36" t="str"/>
      <x:c r="H36" t="str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7" hidden="0" customWidth="1"/>
    <x:col min="5" max="5" width="19" hidden="0" customWidth="1"/>
    <x:col min="6" max="6" width="32" hidden="0" customWidth="1"/>
    <x:col min="7" max="7" width="13" hidden="0" customWidth="1"/>
    <x:col min="8" max="8" width="18" hidden="0" customWidth="1"/>
    <x:col min="9" max="9" width="19" hidden="0" customWidth="1"/>
    <x:col min="10" max="10" width="19" hidden="0" customWidth="1"/>
    <x:col min="11" max="11" width="18" hidden="0" customWidth="1"/>
    <x:col min="12" max="12" width="33" hidden="0" customWidth="1"/>
  </x:cols>
  <x:sheetData>
    <x:row r="1" ht="25" customHeight="1">
      <x:c r="A1" s="4" t="str">
        <x:v>SALES ENTRY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9" t="str">
        <x:v>Fill the light columns. Copy suggested price into Sale Unit Price at checkout to keep historical revenue unchanged.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30" customHeight="1">
      <x:c r="A5" s="15" t="str">
        <x:v>Order ID</x:v>
      </x:c>
      <x:c r="B5" s="15" t="str">
        <x:v>Sale Date</x:v>
      </x:c>
      <x:c r="C5" s="15" t="str">
        <x:v>Customer ID</x:v>
      </x:c>
      <x:c r="D5" s="15" t="str">
        <x:v>Customer Name ↻</x:v>
      </x:c>
      <x:c r="E5" s="15" t="str">
        <x:v>SKU / Model ID</x:v>
      </x:c>
      <x:c r="F5" s="15" t="str">
        <x:v>Product Name ↻</x:v>
      </x:c>
      <x:c r="G5" s="15" t="str">
        <x:v>Quantity</x:v>
      </x:c>
      <x:c r="H5" s="15" t="str">
        <x:v>Current Price ↻</x:v>
      </x:c>
      <x:c r="I5" s="15" t="str">
        <x:v>Sale Unit Price</x:v>
      </x:c>
      <x:c r="J5" s="15" t="str">
        <x:v>Line Total ↻</x:v>
      </x:c>
      <x:c r="K5" s="15" t="str">
        <x:v>Order Status</x:v>
      </x:c>
      <x:c r="L5" s="15" t="str">
        <x:v>Notes</x:v>
      </x:c>
    </x:row>
    <x:row r="6" ht="22" customHeight="1">
      <x:c r="A6" s="20"/>
      <x:c r="B6" s="22"/>
      <x:c r="C6" s="20"/>
      <x:c r="D6" t="str">
        <x:f>IF(C6="","",IFERROR(VLOOKUP(C6,Customers!$A$6:$B$155,2,FALSE),"INVALID CUSTOMER ID"))</x:f>
      </x:c>
      <x:c r="E6" s="20"/>
      <x:c r="F6" t="str">
        <x:f>IF(E6="","",IFERROR(VLOOKUP(E6,Products!$A$6:$B$110,2,FALSE),"INVALID SKU"))</x:f>
      </x:c>
      <x:c r="G6" s="20"/>
      <x:c r="H6" s="24" t="str">
        <x:f>IF(E6="","",IFERROR(VLOOKUP(E6,Products!$A$6:$D$110,4,FALSE),""))</x:f>
      </x:c>
      <x:c r="I6" s="25"/>
      <x:c r="J6" s="24" t="str">
        <x:f>IF(OR(G6="",I6=""),"",G6*I6)</x:f>
      </x:c>
      <x:c r="K6" s="20"/>
      <x:c r="L6" s="20"/>
    </x:row>
    <x:row r="7" ht="22" customHeight="1">
      <x:c r="A7" s="20"/>
      <x:c r="B7" s="22"/>
      <x:c r="C7" s="20"/>
      <x:c r="D7" t="str">
        <x:f>IF(C7="","",IFERROR(VLOOKUP(C7,Customers!$A$6:$B$155,2,FALSE),"INVALID CUSTOMER ID"))</x:f>
      </x:c>
      <x:c r="E7" s="20"/>
      <x:c r="F7" t="str">
        <x:f>IF(E7="","",IFERROR(VLOOKUP(E7,Products!$A$6:$B$110,2,FALSE),"INVALID SKU"))</x:f>
      </x:c>
      <x:c r="G7" s="20"/>
      <x:c r="H7" s="24" t="str">
        <x:f>IF(E7="","",IFERROR(VLOOKUP(E7,Products!$A$6:$D$110,4,FALSE),""))</x:f>
      </x:c>
      <x:c r="I7" s="25"/>
      <x:c r="J7" s="24" t="str">
        <x:f>IF(OR(G7="",I7=""),"",G7*I7)</x:f>
      </x:c>
      <x:c r="K7" s="20"/>
      <x:c r="L7" s="20"/>
    </x:row>
    <x:row r="8" ht="22" customHeight="1">
      <x:c r="A8" s="20"/>
      <x:c r="B8" s="22"/>
      <x:c r="C8" s="20"/>
      <x:c r="D8" t="str">
        <x:f>IF(C8="","",IFERROR(VLOOKUP(C8,Customers!$A$6:$B$155,2,FALSE),"INVALID CUSTOMER ID"))</x:f>
      </x:c>
      <x:c r="E8" s="20"/>
      <x:c r="F8" t="str">
        <x:f>IF(E8="","",IFERROR(VLOOKUP(E8,Products!$A$6:$B$110,2,FALSE),"INVALID SKU"))</x:f>
      </x:c>
      <x:c r="G8" s="20"/>
      <x:c r="H8" s="24" t="str">
        <x:f>IF(E8="","",IFERROR(VLOOKUP(E8,Products!$A$6:$D$110,4,FALSE),""))</x:f>
      </x:c>
      <x:c r="I8" s="25"/>
      <x:c r="J8" s="24" t="str">
        <x:f>IF(OR(G8="",I8=""),"",G8*I8)</x:f>
      </x:c>
      <x:c r="K8" s="20"/>
      <x:c r="L8" s="20"/>
    </x:row>
    <x:row r="9" ht="22" customHeight="1">
      <x:c r="A9" s="20"/>
      <x:c r="B9" s="22"/>
      <x:c r="C9" s="20"/>
      <x:c r="D9" t="str">
        <x:f>IF(C9="","",IFERROR(VLOOKUP(C9,Customers!$A$6:$B$155,2,FALSE),"INVALID CUSTOMER ID"))</x:f>
      </x:c>
      <x:c r="E9" s="20"/>
      <x:c r="F9" t="str">
        <x:f>IF(E9="","",IFERROR(VLOOKUP(E9,Products!$A$6:$B$110,2,FALSE),"INVALID SKU"))</x:f>
      </x:c>
      <x:c r="G9" s="20"/>
      <x:c r="H9" s="24" t="str">
        <x:f>IF(E9="","",IFERROR(VLOOKUP(E9,Products!$A$6:$D$110,4,FALSE),""))</x:f>
      </x:c>
      <x:c r="I9" s="25"/>
      <x:c r="J9" s="24" t="str">
        <x:f>IF(OR(G9="",I9=""),"",G9*I9)</x:f>
      </x:c>
      <x:c r="K9" s="20"/>
      <x:c r="L9" s="20"/>
    </x:row>
    <x:row r="10" ht="22" customHeight="1">
      <x:c r="A10" s="20"/>
      <x:c r="B10" s="22"/>
      <x:c r="C10" s="20"/>
      <x:c r="D10" t="str">
        <x:f>IF(C10="","",IFERROR(VLOOKUP(C10,Customers!$A$6:$B$155,2,FALSE),"INVALID CUSTOMER ID"))</x:f>
      </x:c>
      <x:c r="E10" s="20"/>
      <x:c r="F10" t="str">
        <x:f>IF(E10="","",IFERROR(VLOOKUP(E10,Products!$A$6:$B$110,2,FALSE),"INVALID SKU"))</x:f>
      </x:c>
      <x:c r="G10" s="20"/>
      <x:c r="H10" s="24" t="str">
        <x:f>IF(E10="","",IFERROR(VLOOKUP(E10,Products!$A$6:$D$110,4,FALSE),""))</x:f>
      </x:c>
      <x:c r="I10" s="25"/>
      <x:c r="J10" s="24" t="str">
        <x:f>IF(OR(G10="",I10=""),"",G10*I10)</x:f>
      </x:c>
      <x:c r="K10" s="20"/>
      <x:c r="L10" s="20"/>
    </x:row>
    <x:row r="11" ht="22" customHeight="1">
      <x:c r="A11" s="20"/>
      <x:c r="B11" s="22"/>
      <x:c r="C11" s="20"/>
      <x:c r="D11" t="str">
        <x:f>IF(C11="","",IFERROR(VLOOKUP(C11,Customers!$A$6:$B$155,2,FALSE),"INVALID CUSTOMER ID"))</x:f>
      </x:c>
      <x:c r="E11" s="20"/>
      <x:c r="F11" t="str">
        <x:f>IF(E11="","",IFERROR(VLOOKUP(E11,Products!$A$6:$B$110,2,FALSE),"INVALID SKU"))</x:f>
      </x:c>
      <x:c r="G11" s="20"/>
      <x:c r="H11" s="24" t="str">
        <x:f>IF(E11="","",IFERROR(VLOOKUP(E11,Products!$A$6:$D$110,4,FALSE),""))</x:f>
      </x:c>
      <x:c r="I11" s="25"/>
      <x:c r="J11" s="24" t="str">
        <x:f>IF(OR(G11="",I11=""),"",G11*I11)</x:f>
      </x:c>
      <x:c r="K11" s="20"/>
      <x:c r="L11" s="20"/>
    </x:row>
    <x:row r="12" ht="22" customHeight="1">
      <x:c r="A12" s="20"/>
      <x:c r="B12" s="22"/>
      <x:c r="C12" s="20"/>
      <x:c r="D12" t="str">
        <x:f>IF(C12="","",IFERROR(VLOOKUP(C12,Customers!$A$6:$B$155,2,FALSE),"INVALID CUSTOMER ID"))</x:f>
      </x:c>
      <x:c r="E12" s="20"/>
      <x:c r="F12" t="str">
        <x:f>IF(E12="","",IFERROR(VLOOKUP(E12,Products!$A$6:$B$110,2,FALSE),"INVALID SKU"))</x:f>
      </x:c>
      <x:c r="G12" s="20"/>
      <x:c r="H12" s="24" t="str">
        <x:f>IF(E12="","",IFERROR(VLOOKUP(E12,Products!$A$6:$D$110,4,FALSE),""))</x:f>
      </x:c>
      <x:c r="I12" s="25"/>
      <x:c r="J12" s="24" t="str">
        <x:f>IF(OR(G12="",I12=""),"",G12*I12)</x:f>
      </x:c>
      <x:c r="K12" s="20"/>
      <x:c r="L12" s="20"/>
    </x:row>
    <x:row r="13" ht="22" customHeight="1">
      <x:c r="A13" s="20"/>
      <x:c r="B13" s="22"/>
      <x:c r="C13" s="20"/>
      <x:c r="D13" t="str">
        <x:f>IF(C13="","",IFERROR(VLOOKUP(C13,Customers!$A$6:$B$155,2,FALSE),"INVALID CUSTOMER ID"))</x:f>
      </x:c>
      <x:c r="E13" s="20"/>
      <x:c r="F13" t="str">
        <x:f>IF(E13="","",IFERROR(VLOOKUP(E13,Products!$A$6:$B$110,2,FALSE),"INVALID SKU"))</x:f>
      </x:c>
      <x:c r="G13" s="20"/>
      <x:c r="H13" s="24" t="str">
        <x:f>IF(E13="","",IFERROR(VLOOKUP(E13,Products!$A$6:$D$110,4,FALSE),""))</x:f>
      </x:c>
      <x:c r="I13" s="25"/>
      <x:c r="J13" s="24" t="str">
        <x:f>IF(OR(G13="",I13=""),"",G13*I13)</x:f>
      </x:c>
      <x:c r="K13" s="20"/>
      <x:c r="L13" s="20"/>
    </x:row>
    <x:row r="14" ht="22" customHeight="1">
      <x:c r="A14" s="20"/>
      <x:c r="B14" s="22"/>
      <x:c r="C14" s="20"/>
      <x:c r="D14" t="str">
        <x:f>IF(C14="","",IFERROR(VLOOKUP(C14,Customers!$A$6:$B$155,2,FALSE),"INVALID CUSTOMER ID"))</x:f>
      </x:c>
      <x:c r="E14" s="20"/>
      <x:c r="F14" t="str">
        <x:f>IF(E14="","",IFERROR(VLOOKUP(E14,Products!$A$6:$B$110,2,FALSE),"INVALID SKU"))</x:f>
      </x:c>
      <x:c r="G14" s="20"/>
      <x:c r="H14" s="24" t="str">
        <x:f>IF(E14="","",IFERROR(VLOOKUP(E14,Products!$A$6:$D$110,4,FALSE),""))</x:f>
      </x:c>
      <x:c r="I14" s="25"/>
      <x:c r="J14" s="24" t="str">
        <x:f>IF(OR(G14="",I14=""),"",G14*I14)</x:f>
      </x:c>
      <x:c r="K14" s="20"/>
      <x:c r="L14" s="20"/>
    </x:row>
    <x:row r="15" ht="22" customHeight="1">
      <x:c r="A15" s="20"/>
      <x:c r="B15" s="22"/>
      <x:c r="C15" s="20"/>
      <x:c r="D15" t="str">
        <x:f>IF(C15="","",IFERROR(VLOOKUP(C15,Customers!$A$6:$B$155,2,FALSE),"INVALID CUSTOMER ID"))</x:f>
      </x:c>
      <x:c r="E15" s="20"/>
      <x:c r="F15" t="str">
        <x:f>IF(E15="","",IFERROR(VLOOKUP(E15,Products!$A$6:$B$110,2,FALSE),"INVALID SKU"))</x:f>
      </x:c>
      <x:c r="G15" s="20"/>
      <x:c r="H15" s="24" t="str">
        <x:f>IF(E15="","",IFERROR(VLOOKUP(E15,Products!$A$6:$D$110,4,FALSE),""))</x:f>
      </x:c>
      <x:c r="I15" s="25"/>
      <x:c r="J15" s="24" t="str">
        <x:f>IF(OR(G15="",I15=""),"",G15*I15)</x:f>
      </x:c>
      <x:c r="K15" s="20"/>
      <x:c r="L15" s="20"/>
    </x:row>
    <x:row r="16" ht="22" customHeight="1">
      <x:c r="A16" s="20"/>
      <x:c r="B16" s="22"/>
      <x:c r="C16" s="20"/>
      <x:c r="D16" t="str">
        <x:f>IF(C16="","",IFERROR(VLOOKUP(C16,Customers!$A$6:$B$155,2,FALSE),"INVALID CUSTOMER ID"))</x:f>
      </x:c>
      <x:c r="E16" s="20"/>
      <x:c r="F16" t="str">
        <x:f>IF(E16="","",IFERROR(VLOOKUP(E16,Products!$A$6:$B$110,2,FALSE),"INVALID SKU"))</x:f>
      </x:c>
      <x:c r="G16" s="20"/>
      <x:c r="H16" s="24" t="str">
        <x:f>IF(E16="","",IFERROR(VLOOKUP(E16,Products!$A$6:$D$110,4,FALSE),""))</x:f>
      </x:c>
      <x:c r="I16" s="25"/>
      <x:c r="J16" s="24" t="str">
        <x:f>IF(OR(G16="",I16=""),"",G16*I16)</x:f>
      </x:c>
      <x:c r="K16" s="20"/>
      <x:c r="L16" s="20"/>
    </x:row>
    <x:row r="17" ht="22" customHeight="1">
      <x:c r="A17" s="20"/>
      <x:c r="B17" s="22"/>
      <x:c r="C17" s="20"/>
      <x:c r="D17" t="str">
        <x:f>IF(C17="","",IFERROR(VLOOKUP(C17,Customers!$A$6:$B$155,2,FALSE),"INVALID CUSTOMER ID"))</x:f>
      </x:c>
      <x:c r="E17" s="20"/>
      <x:c r="F17" t="str">
        <x:f>IF(E17="","",IFERROR(VLOOKUP(E17,Products!$A$6:$B$110,2,FALSE),"INVALID SKU"))</x:f>
      </x:c>
      <x:c r="G17" s="20"/>
      <x:c r="H17" s="24" t="str">
        <x:f>IF(E17="","",IFERROR(VLOOKUP(E17,Products!$A$6:$D$110,4,FALSE),""))</x:f>
      </x:c>
      <x:c r="I17" s="25"/>
      <x:c r="J17" s="24" t="str">
        <x:f>IF(OR(G17="",I17=""),"",G17*I17)</x:f>
      </x:c>
      <x:c r="K17" s="20"/>
      <x:c r="L17" s="20"/>
    </x:row>
    <x:row r="18" ht="22" customHeight="1">
      <x:c r="A18" s="20"/>
      <x:c r="B18" s="22"/>
      <x:c r="C18" s="20"/>
      <x:c r="D18" t="str">
        <x:f>IF(C18="","",IFERROR(VLOOKUP(C18,Customers!$A$6:$B$155,2,FALSE),"INVALID CUSTOMER ID"))</x:f>
      </x:c>
      <x:c r="E18" s="20"/>
      <x:c r="F18" t="str">
        <x:f>IF(E18="","",IFERROR(VLOOKUP(E18,Products!$A$6:$B$110,2,FALSE),"INVALID SKU"))</x:f>
      </x:c>
      <x:c r="G18" s="20"/>
      <x:c r="H18" s="24" t="str">
        <x:f>IF(E18="","",IFERROR(VLOOKUP(E18,Products!$A$6:$D$110,4,FALSE),""))</x:f>
      </x:c>
      <x:c r="I18" s="25"/>
      <x:c r="J18" s="24" t="str">
        <x:f>IF(OR(G18="",I18=""),"",G18*I18)</x:f>
      </x:c>
      <x:c r="K18" s="20"/>
      <x:c r="L18" s="20"/>
    </x:row>
    <x:row r="19" ht="22" customHeight="1">
      <x:c r="A19" s="20"/>
      <x:c r="B19" s="22"/>
      <x:c r="C19" s="20"/>
      <x:c r="D19" t="str">
        <x:f>IF(C19="","",IFERROR(VLOOKUP(C19,Customers!$A$6:$B$155,2,FALSE),"INVALID CUSTOMER ID"))</x:f>
      </x:c>
      <x:c r="E19" s="20"/>
      <x:c r="F19" t="str">
        <x:f>IF(E19="","",IFERROR(VLOOKUP(E19,Products!$A$6:$B$110,2,FALSE),"INVALID SKU"))</x:f>
      </x:c>
      <x:c r="G19" s="20"/>
      <x:c r="H19" s="24" t="str">
        <x:f>IF(E19="","",IFERROR(VLOOKUP(E19,Products!$A$6:$D$110,4,FALSE),""))</x:f>
      </x:c>
      <x:c r="I19" s="25"/>
      <x:c r="J19" s="24" t="str">
        <x:f>IF(OR(G19="",I19=""),"",G19*I19)</x:f>
      </x:c>
      <x:c r="K19" s="20"/>
      <x:c r="L19" s="20"/>
    </x:row>
    <x:row r="20" ht="22" customHeight="1">
      <x:c r="A20" s="20"/>
      <x:c r="B20" s="22"/>
      <x:c r="C20" s="20"/>
      <x:c r="D20" t="str">
        <x:f>IF(C20="","",IFERROR(VLOOKUP(C20,Customers!$A$6:$B$155,2,FALSE),"INVALID CUSTOMER ID"))</x:f>
      </x:c>
      <x:c r="E20" s="20"/>
      <x:c r="F20" t="str">
        <x:f>IF(E20="","",IFERROR(VLOOKUP(E20,Products!$A$6:$B$110,2,FALSE),"INVALID SKU"))</x:f>
      </x:c>
      <x:c r="G20" s="20"/>
      <x:c r="H20" s="24" t="str">
        <x:f>IF(E20="","",IFERROR(VLOOKUP(E20,Products!$A$6:$D$110,4,FALSE),""))</x:f>
      </x:c>
      <x:c r="I20" s="25"/>
      <x:c r="J20" s="24" t="str">
        <x:f>IF(OR(G20="",I20=""),"",G20*I20)</x:f>
      </x:c>
      <x:c r="K20" s="20"/>
      <x:c r="L20" s="20"/>
    </x:row>
    <x:row r="21" ht="22" customHeight="1">
      <x:c r="A21" s="20"/>
      <x:c r="B21" s="22"/>
      <x:c r="C21" s="20"/>
      <x:c r="D21" t="str">
        <x:f>IF(C21="","",IFERROR(VLOOKUP(C21,Customers!$A$6:$B$155,2,FALSE),"INVALID CUSTOMER ID"))</x:f>
      </x:c>
      <x:c r="E21" s="20"/>
      <x:c r="F21" t="str">
        <x:f>IF(E21="","",IFERROR(VLOOKUP(E21,Products!$A$6:$B$110,2,FALSE),"INVALID SKU"))</x:f>
      </x:c>
      <x:c r="G21" s="20"/>
      <x:c r="H21" s="24" t="str">
        <x:f>IF(E21="","",IFERROR(VLOOKUP(E21,Products!$A$6:$D$110,4,FALSE),""))</x:f>
      </x:c>
      <x:c r="I21" s="25"/>
      <x:c r="J21" s="24" t="str">
        <x:f>IF(OR(G21="",I21=""),"",G21*I21)</x:f>
      </x:c>
      <x:c r="K21" s="20"/>
      <x:c r="L21" s="20"/>
    </x:row>
    <x:row r="22" ht="22" customHeight="1">
      <x:c r="A22" s="20"/>
      <x:c r="B22" s="22"/>
      <x:c r="C22" s="20"/>
      <x:c r="D22" t="str">
        <x:f>IF(C22="","",IFERROR(VLOOKUP(C22,Customers!$A$6:$B$155,2,FALSE),"INVALID CUSTOMER ID"))</x:f>
      </x:c>
      <x:c r="E22" s="20"/>
      <x:c r="F22" t="str">
        <x:f>IF(E22="","",IFERROR(VLOOKUP(E22,Products!$A$6:$B$110,2,FALSE),"INVALID SKU"))</x:f>
      </x:c>
      <x:c r="G22" s="20"/>
      <x:c r="H22" s="24" t="str">
        <x:f>IF(E22="","",IFERROR(VLOOKUP(E22,Products!$A$6:$D$110,4,FALSE),""))</x:f>
      </x:c>
      <x:c r="I22" s="25"/>
      <x:c r="J22" s="24" t="str">
        <x:f>IF(OR(G22="",I22=""),"",G22*I22)</x:f>
      </x:c>
      <x:c r="K22" s="20"/>
      <x:c r="L22" s="20"/>
    </x:row>
    <x:row r="23" ht="22" customHeight="1">
      <x:c r="A23" s="20"/>
      <x:c r="B23" s="22"/>
      <x:c r="C23" s="20"/>
      <x:c r="D23" t="str">
        <x:f>IF(C23="","",IFERROR(VLOOKUP(C23,Customers!$A$6:$B$155,2,FALSE),"INVALID CUSTOMER ID"))</x:f>
      </x:c>
      <x:c r="E23" s="20"/>
      <x:c r="F23" t="str">
        <x:f>IF(E23="","",IFERROR(VLOOKUP(E23,Products!$A$6:$B$110,2,FALSE),"INVALID SKU"))</x:f>
      </x:c>
      <x:c r="G23" s="20"/>
      <x:c r="H23" s="24" t="str">
        <x:f>IF(E23="","",IFERROR(VLOOKUP(E23,Products!$A$6:$D$110,4,FALSE),""))</x:f>
      </x:c>
      <x:c r="I23" s="25"/>
      <x:c r="J23" s="24" t="str">
        <x:f>IF(OR(G23="",I23=""),"",G23*I23)</x:f>
      </x:c>
      <x:c r="K23" s="20"/>
      <x:c r="L23" s="20"/>
    </x:row>
    <x:row r="24" ht="22" customHeight="1">
      <x:c r="A24" s="20"/>
      <x:c r="B24" s="22"/>
      <x:c r="C24" s="20"/>
      <x:c r="D24" t="str">
        <x:f>IF(C24="","",IFERROR(VLOOKUP(C24,Customers!$A$6:$B$155,2,FALSE),"INVALID CUSTOMER ID"))</x:f>
      </x:c>
      <x:c r="E24" s="20"/>
      <x:c r="F24" t="str">
        <x:f>IF(E24="","",IFERROR(VLOOKUP(E24,Products!$A$6:$B$110,2,FALSE),"INVALID SKU"))</x:f>
      </x:c>
      <x:c r="G24" s="20"/>
      <x:c r="H24" s="24" t="str">
        <x:f>IF(E24="","",IFERROR(VLOOKUP(E24,Products!$A$6:$D$110,4,FALSE),""))</x:f>
      </x:c>
      <x:c r="I24" s="25"/>
      <x:c r="J24" s="24" t="str">
        <x:f>IF(OR(G24="",I24=""),"",G24*I24)</x:f>
      </x:c>
      <x:c r="K24" s="20"/>
      <x:c r="L24" s="20"/>
    </x:row>
    <x:row r="25" ht="22" customHeight="1">
      <x:c r="A25" s="20"/>
      <x:c r="B25" s="22"/>
      <x:c r="C25" s="20"/>
      <x:c r="D25" t="str">
        <x:f>IF(C25="","",IFERROR(VLOOKUP(C25,Customers!$A$6:$B$155,2,FALSE),"INVALID CUSTOMER ID"))</x:f>
      </x:c>
      <x:c r="E25" s="20"/>
      <x:c r="F25" t="str">
        <x:f>IF(E25="","",IFERROR(VLOOKUP(E25,Products!$A$6:$B$110,2,FALSE),"INVALID SKU"))</x:f>
      </x:c>
      <x:c r="G25" s="20"/>
      <x:c r="H25" s="24" t="str">
        <x:f>IF(E25="","",IFERROR(VLOOKUP(E25,Products!$A$6:$D$110,4,FALSE),""))</x:f>
      </x:c>
      <x:c r="I25" s="25"/>
      <x:c r="J25" s="24" t="str">
        <x:f>IF(OR(G25="",I25=""),"",G25*I25)</x:f>
      </x:c>
      <x:c r="K25" s="20"/>
      <x:c r="L25" s="20"/>
    </x:row>
    <x:row r="26" ht="22" customHeight="1">
      <x:c r="A26" s="20"/>
      <x:c r="B26" s="22"/>
      <x:c r="C26" s="20"/>
      <x:c r="D26" t="str">
        <x:f>IF(C26="","",IFERROR(VLOOKUP(C26,Customers!$A$6:$B$155,2,FALSE),"INVALID CUSTOMER ID"))</x:f>
      </x:c>
      <x:c r="E26" s="20"/>
      <x:c r="F26" t="str">
        <x:f>IF(E26="","",IFERROR(VLOOKUP(E26,Products!$A$6:$B$110,2,FALSE),"INVALID SKU"))</x:f>
      </x:c>
      <x:c r="G26" s="20"/>
      <x:c r="H26" s="24" t="str">
        <x:f>IF(E26="","",IFERROR(VLOOKUP(E26,Products!$A$6:$D$110,4,FALSE),""))</x:f>
      </x:c>
      <x:c r="I26" s="25"/>
      <x:c r="J26" s="24" t="str">
        <x:f>IF(OR(G26="",I26=""),"",G26*I26)</x:f>
      </x:c>
      <x:c r="K26" s="20"/>
      <x:c r="L26" s="20"/>
    </x:row>
    <x:row r="27" ht="22" customHeight="1">
      <x:c r="A27" s="20"/>
      <x:c r="B27" s="22"/>
      <x:c r="C27" s="20"/>
      <x:c r="D27" t="str">
        <x:f>IF(C27="","",IFERROR(VLOOKUP(C27,Customers!$A$6:$B$155,2,FALSE),"INVALID CUSTOMER ID"))</x:f>
      </x:c>
      <x:c r="E27" s="20"/>
      <x:c r="F27" t="str">
        <x:f>IF(E27="","",IFERROR(VLOOKUP(E27,Products!$A$6:$B$110,2,FALSE),"INVALID SKU"))</x:f>
      </x:c>
      <x:c r="G27" s="20"/>
      <x:c r="H27" s="24" t="str">
        <x:f>IF(E27="","",IFERROR(VLOOKUP(E27,Products!$A$6:$D$110,4,FALSE),""))</x:f>
      </x:c>
      <x:c r="I27" s="25"/>
      <x:c r="J27" s="24" t="str">
        <x:f>IF(OR(G27="",I27=""),"",G27*I27)</x:f>
      </x:c>
      <x:c r="K27" s="20"/>
      <x:c r="L27" s="20"/>
    </x:row>
    <x:row r="28" ht="22" customHeight="1">
      <x:c r="A28" s="20"/>
      <x:c r="B28" s="22"/>
      <x:c r="C28" s="20"/>
      <x:c r="D28" t="str">
        <x:f>IF(C28="","",IFERROR(VLOOKUP(C28,Customers!$A$6:$B$155,2,FALSE),"INVALID CUSTOMER ID"))</x:f>
      </x:c>
      <x:c r="E28" s="20"/>
      <x:c r="F28" t="str">
        <x:f>IF(E28="","",IFERROR(VLOOKUP(E28,Products!$A$6:$B$110,2,FALSE),"INVALID SKU"))</x:f>
      </x:c>
      <x:c r="G28" s="20"/>
      <x:c r="H28" s="24" t="str">
        <x:f>IF(E28="","",IFERROR(VLOOKUP(E28,Products!$A$6:$D$110,4,FALSE),""))</x:f>
      </x:c>
      <x:c r="I28" s="25"/>
      <x:c r="J28" s="24" t="str">
        <x:f>IF(OR(G28="",I28=""),"",G28*I28)</x:f>
      </x:c>
      <x:c r="K28" s="20"/>
      <x:c r="L28" s="20"/>
    </x:row>
    <x:row r="29" ht="22" customHeight="1">
      <x:c r="A29" s="20"/>
      <x:c r="B29" s="22"/>
      <x:c r="C29" s="20"/>
      <x:c r="D29" t="str">
        <x:f>IF(C29="","",IFERROR(VLOOKUP(C29,Customers!$A$6:$B$155,2,FALSE),"INVALID CUSTOMER ID"))</x:f>
      </x:c>
      <x:c r="E29" s="20"/>
      <x:c r="F29" t="str">
        <x:f>IF(E29="","",IFERROR(VLOOKUP(E29,Products!$A$6:$B$110,2,FALSE),"INVALID SKU"))</x:f>
      </x:c>
      <x:c r="G29" s="20"/>
      <x:c r="H29" s="24" t="str">
        <x:f>IF(E29="","",IFERROR(VLOOKUP(E29,Products!$A$6:$D$110,4,FALSE),""))</x:f>
      </x:c>
      <x:c r="I29" s="25"/>
      <x:c r="J29" s="24" t="str">
        <x:f>IF(OR(G29="",I29=""),"",G29*I29)</x:f>
      </x:c>
      <x:c r="K29" s="20"/>
      <x:c r="L29" s="20"/>
    </x:row>
    <x:row r="30" ht="22" customHeight="1">
      <x:c r="A30" s="20"/>
      <x:c r="B30" s="22"/>
      <x:c r="C30" s="20"/>
      <x:c r="D30" t="str">
        <x:f>IF(C30="","",IFERROR(VLOOKUP(C30,Customers!$A$6:$B$155,2,FALSE),"INVALID CUSTOMER ID"))</x:f>
      </x:c>
      <x:c r="E30" s="20"/>
      <x:c r="F30" t="str">
        <x:f>IF(E30="","",IFERROR(VLOOKUP(E30,Products!$A$6:$B$110,2,FALSE),"INVALID SKU"))</x:f>
      </x:c>
      <x:c r="G30" s="20"/>
      <x:c r="H30" s="24" t="str">
        <x:f>IF(E30="","",IFERROR(VLOOKUP(E30,Products!$A$6:$D$110,4,FALSE),""))</x:f>
      </x:c>
      <x:c r="I30" s="25"/>
      <x:c r="J30" s="24" t="str">
        <x:f>IF(OR(G30="",I30=""),"",G30*I30)</x:f>
      </x:c>
      <x:c r="K30" s="20"/>
      <x:c r="L30" s="20"/>
    </x:row>
    <x:row r="31" ht="22" customHeight="1">
      <x:c r="A31" s="20"/>
      <x:c r="B31" s="22"/>
      <x:c r="C31" s="20"/>
      <x:c r="D31" t="str">
        <x:f>IF(C31="","",IFERROR(VLOOKUP(C31,Customers!$A$6:$B$155,2,FALSE),"INVALID CUSTOMER ID"))</x:f>
      </x:c>
      <x:c r="E31" s="20"/>
      <x:c r="F31" t="str">
        <x:f>IF(E31="","",IFERROR(VLOOKUP(E31,Products!$A$6:$B$110,2,FALSE),"INVALID SKU"))</x:f>
      </x:c>
      <x:c r="G31" s="20"/>
      <x:c r="H31" s="24" t="str">
        <x:f>IF(E31="","",IFERROR(VLOOKUP(E31,Products!$A$6:$D$110,4,FALSE),""))</x:f>
      </x:c>
      <x:c r="I31" s="25"/>
      <x:c r="J31" s="24" t="str">
        <x:f>IF(OR(G31="",I31=""),"",G31*I31)</x:f>
      </x:c>
      <x:c r="K31" s="20"/>
      <x:c r="L31" s="20"/>
    </x:row>
    <x:row r="32" ht="22" customHeight="1">
      <x:c r="A32" s="20"/>
      <x:c r="B32" s="22"/>
      <x:c r="C32" s="20"/>
      <x:c r="D32" t="str">
        <x:f>IF(C32="","",IFERROR(VLOOKUP(C32,Customers!$A$6:$B$155,2,FALSE),"INVALID CUSTOMER ID"))</x:f>
      </x:c>
      <x:c r="E32" s="20"/>
      <x:c r="F32" t="str">
        <x:f>IF(E32="","",IFERROR(VLOOKUP(E32,Products!$A$6:$B$110,2,FALSE),"INVALID SKU"))</x:f>
      </x:c>
      <x:c r="G32" s="20"/>
      <x:c r="H32" s="24" t="str">
        <x:f>IF(E32="","",IFERROR(VLOOKUP(E32,Products!$A$6:$D$110,4,FALSE),""))</x:f>
      </x:c>
      <x:c r="I32" s="25"/>
      <x:c r="J32" s="24" t="str">
        <x:f>IF(OR(G32="",I32=""),"",G32*I32)</x:f>
      </x:c>
      <x:c r="K32" s="20"/>
      <x:c r="L32" s="20"/>
    </x:row>
    <x:row r="33" ht="22" customHeight="1">
      <x:c r="A33" s="20"/>
      <x:c r="B33" s="22"/>
      <x:c r="C33" s="20"/>
      <x:c r="D33" t="str">
        <x:f>IF(C33="","",IFERROR(VLOOKUP(C33,Customers!$A$6:$B$155,2,FALSE),"INVALID CUSTOMER ID"))</x:f>
      </x:c>
      <x:c r="E33" s="20"/>
      <x:c r="F33" t="str">
        <x:f>IF(E33="","",IFERROR(VLOOKUP(E33,Products!$A$6:$B$110,2,FALSE),"INVALID SKU"))</x:f>
      </x:c>
      <x:c r="G33" s="20"/>
      <x:c r="H33" s="24" t="str">
        <x:f>IF(E33="","",IFERROR(VLOOKUP(E33,Products!$A$6:$D$110,4,FALSE),""))</x:f>
      </x:c>
      <x:c r="I33" s="25"/>
      <x:c r="J33" s="24" t="str">
        <x:f>IF(OR(G33="",I33=""),"",G33*I33)</x:f>
      </x:c>
      <x:c r="K33" s="20"/>
      <x:c r="L33" s="20"/>
    </x:row>
    <x:row r="34" ht="22" customHeight="1">
      <x:c r="A34" s="20"/>
      <x:c r="B34" s="22"/>
      <x:c r="C34" s="20"/>
      <x:c r="D34" t="str">
        <x:f>IF(C34="","",IFERROR(VLOOKUP(C34,Customers!$A$6:$B$155,2,FALSE),"INVALID CUSTOMER ID"))</x:f>
      </x:c>
      <x:c r="E34" s="20"/>
      <x:c r="F34" t="str">
        <x:f>IF(E34="","",IFERROR(VLOOKUP(E34,Products!$A$6:$B$110,2,FALSE),"INVALID SKU"))</x:f>
      </x:c>
      <x:c r="G34" s="20"/>
      <x:c r="H34" s="24" t="str">
        <x:f>IF(E34="","",IFERROR(VLOOKUP(E34,Products!$A$6:$D$110,4,FALSE),""))</x:f>
      </x:c>
      <x:c r="I34" s="25"/>
      <x:c r="J34" s="24" t="str">
        <x:f>IF(OR(G34="",I34=""),"",G34*I34)</x:f>
      </x:c>
      <x:c r="K34" s="20"/>
      <x:c r="L34" s="20"/>
    </x:row>
    <x:row r="35" ht="22" customHeight="1">
      <x:c r="A35" s="20"/>
      <x:c r="B35" s="22"/>
      <x:c r="C35" s="20"/>
      <x:c r="D35" t="str">
        <x:f>IF(C35="","",IFERROR(VLOOKUP(C35,Customers!$A$6:$B$155,2,FALSE),"INVALID CUSTOMER ID"))</x:f>
      </x:c>
      <x:c r="E35" s="20"/>
      <x:c r="F35" t="str">
        <x:f>IF(E35="","",IFERROR(VLOOKUP(E35,Products!$A$6:$B$110,2,FALSE),"INVALID SKU"))</x:f>
      </x:c>
      <x:c r="G35" s="20"/>
      <x:c r="H35" s="24" t="str">
        <x:f>IF(E35="","",IFERROR(VLOOKUP(E35,Products!$A$6:$D$110,4,FALSE),""))</x:f>
      </x:c>
      <x:c r="I35" s="25"/>
      <x:c r="J35" s="24" t="str">
        <x:f>IF(OR(G35="",I35=""),"",G35*I35)</x:f>
      </x:c>
      <x:c r="K35" s="20"/>
      <x:c r="L35" s="20"/>
    </x:row>
    <x:row r="36" ht="22" customHeight="1">
      <x:c r="A36" s="20"/>
      <x:c r="B36" s="22"/>
      <x:c r="C36" s="20"/>
      <x:c r="D36" t="str">
        <x:f>IF(C36="","",IFERROR(VLOOKUP(C36,Customers!$A$6:$B$155,2,FALSE),"INVALID CUSTOMER ID"))</x:f>
      </x:c>
      <x:c r="E36" s="20"/>
      <x:c r="F36" t="str">
        <x:f>IF(E36="","",IFERROR(VLOOKUP(E36,Products!$A$6:$B$110,2,FALSE),"INVALID SKU"))</x:f>
      </x:c>
      <x:c r="G36" s="20"/>
      <x:c r="H36" s="24" t="str">
        <x:f>IF(E36="","",IFERROR(VLOOKUP(E36,Products!$A$6:$D$110,4,FALSE),""))</x:f>
      </x:c>
      <x:c r="I36" s="25"/>
      <x:c r="J36" s="24" t="str">
        <x:f>IF(OR(G36="",I36=""),"",G36*I36)</x:f>
      </x:c>
      <x:c r="K36" s="20"/>
      <x:c r="L36" s="20"/>
    </x:row>
    <x:row r="37" ht="22" customHeight="1">
      <x:c r="A37" s="20"/>
      <x:c r="B37" s="22"/>
      <x:c r="C37" s="20"/>
      <x:c r="D37" t="str">
        <x:f>IF(C37="","",IFERROR(VLOOKUP(C37,Customers!$A$6:$B$155,2,FALSE),"INVALID CUSTOMER ID"))</x:f>
      </x:c>
      <x:c r="E37" s="20"/>
      <x:c r="F37" t="str">
        <x:f>IF(E37="","",IFERROR(VLOOKUP(E37,Products!$A$6:$B$110,2,FALSE),"INVALID SKU"))</x:f>
      </x:c>
      <x:c r="G37" s="20"/>
      <x:c r="H37" s="24" t="str">
        <x:f>IF(E37="","",IFERROR(VLOOKUP(E37,Products!$A$6:$D$110,4,FALSE),""))</x:f>
      </x:c>
      <x:c r="I37" s="25"/>
      <x:c r="J37" s="24" t="str">
        <x:f>IF(OR(G37="",I37=""),"",G37*I37)</x:f>
      </x:c>
      <x:c r="K37" s="20"/>
      <x:c r="L37" s="20"/>
    </x:row>
    <x:row r="38" ht="22" customHeight="1">
      <x:c r="A38" s="20"/>
      <x:c r="B38" s="22"/>
      <x:c r="C38" s="20"/>
      <x:c r="D38" t="str">
        <x:f>IF(C38="","",IFERROR(VLOOKUP(C38,Customers!$A$6:$B$155,2,FALSE),"INVALID CUSTOMER ID"))</x:f>
      </x:c>
      <x:c r="E38" s="20"/>
      <x:c r="F38" t="str">
        <x:f>IF(E38="","",IFERROR(VLOOKUP(E38,Products!$A$6:$B$110,2,FALSE),"INVALID SKU"))</x:f>
      </x:c>
      <x:c r="G38" s="20"/>
      <x:c r="H38" s="24" t="str">
        <x:f>IF(E38="","",IFERROR(VLOOKUP(E38,Products!$A$6:$D$110,4,FALSE),""))</x:f>
      </x:c>
      <x:c r="I38" s="25"/>
      <x:c r="J38" s="24" t="str">
        <x:f>IF(OR(G38="",I38=""),"",G38*I38)</x:f>
      </x:c>
      <x:c r="K38" s="20"/>
      <x:c r="L38" s="20"/>
    </x:row>
    <x:row r="39" ht="22" customHeight="1">
      <x:c r="A39" s="20"/>
      <x:c r="B39" s="22"/>
      <x:c r="C39" s="20"/>
      <x:c r="D39" t="str">
        <x:f>IF(C39="","",IFERROR(VLOOKUP(C39,Customers!$A$6:$B$155,2,FALSE),"INVALID CUSTOMER ID"))</x:f>
      </x:c>
      <x:c r="E39" s="20"/>
      <x:c r="F39" t="str">
        <x:f>IF(E39="","",IFERROR(VLOOKUP(E39,Products!$A$6:$B$110,2,FALSE),"INVALID SKU"))</x:f>
      </x:c>
      <x:c r="G39" s="20"/>
      <x:c r="H39" s="24" t="str">
        <x:f>IF(E39="","",IFERROR(VLOOKUP(E39,Products!$A$6:$D$110,4,FALSE),""))</x:f>
      </x:c>
      <x:c r="I39" s="25"/>
      <x:c r="J39" s="24" t="str">
        <x:f>IF(OR(G39="",I39=""),"",G39*I39)</x:f>
      </x:c>
      <x:c r="K39" s="20"/>
      <x:c r="L39" s="20"/>
    </x:row>
    <x:row r="40" ht="22" customHeight="1">
      <x:c r="A40" s="20"/>
      <x:c r="B40" s="22"/>
      <x:c r="C40" s="20"/>
      <x:c r="D40" t="str">
        <x:f>IF(C40="","",IFERROR(VLOOKUP(C40,Customers!$A$6:$B$155,2,FALSE),"INVALID CUSTOMER ID"))</x:f>
      </x:c>
      <x:c r="E40" s="20"/>
      <x:c r="F40" t="str">
        <x:f>IF(E40="","",IFERROR(VLOOKUP(E40,Products!$A$6:$B$110,2,FALSE),"INVALID SKU"))</x:f>
      </x:c>
      <x:c r="G40" s="20"/>
      <x:c r="H40" s="24" t="str">
        <x:f>IF(E40="","",IFERROR(VLOOKUP(E40,Products!$A$6:$D$110,4,FALSE),""))</x:f>
      </x:c>
      <x:c r="I40" s="25"/>
      <x:c r="J40" s="24" t="str">
        <x:f>IF(OR(G40="",I40=""),"",G40*I40)</x:f>
      </x:c>
      <x:c r="K40" s="20"/>
      <x:c r="L40" s="20"/>
    </x:row>
    <x:row r="41" ht="22" customHeight="1">
      <x:c r="A41" s="20"/>
      <x:c r="B41" s="22"/>
      <x:c r="C41" s="20"/>
      <x:c r="D41" t="str">
        <x:f>IF(C41="","",IFERROR(VLOOKUP(C41,Customers!$A$6:$B$155,2,FALSE),"INVALID CUSTOMER ID"))</x:f>
      </x:c>
      <x:c r="E41" s="20"/>
      <x:c r="F41" t="str">
        <x:f>IF(E41="","",IFERROR(VLOOKUP(E41,Products!$A$6:$B$110,2,FALSE),"INVALID SKU"))</x:f>
      </x:c>
      <x:c r="G41" s="20"/>
      <x:c r="H41" s="24" t="str">
        <x:f>IF(E41="","",IFERROR(VLOOKUP(E41,Products!$A$6:$D$110,4,FALSE),""))</x:f>
      </x:c>
      <x:c r="I41" s="25"/>
      <x:c r="J41" s="24" t="str">
        <x:f>IF(OR(G41="",I41=""),"",G41*I41)</x:f>
      </x:c>
      <x:c r="K41" s="20"/>
      <x:c r="L41" s="20"/>
    </x:row>
    <x:row r="42" ht="22" customHeight="1">
      <x:c r="A42" s="20"/>
      <x:c r="B42" s="22"/>
      <x:c r="C42" s="20"/>
      <x:c r="D42" t="str">
        <x:f>IF(C42="","",IFERROR(VLOOKUP(C42,Customers!$A$6:$B$155,2,FALSE),"INVALID CUSTOMER ID"))</x:f>
      </x:c>
      <x:c r="E42" s="20"/>
      <x:c r="F42" t="str">
        <x:f>IF(E42="","",IFERROR(VLOOKUP(E42,Products!$A$6:$B$110,2,FALSE),"INVALID SKU"))</x:f>
      </x:c>
      <x:c r="G42" s="20"/>
      <x:c r="H42" s="24" t="str">
        <x:f>IF(E42="","",IFERROR(VLOOKUP(E42,Products!$A$6:$D$110,4,FALSE),""))</x:f>
      </x:c>
      <x:c r="I42" s="25"/>
      <x:c r="J42" s="24" t="str">
        <x:f>IF(OR(G42="",I42=""),"",G42*I42)</x:f>
      </x:c>
      <x:c r="K42" s="20"/>
      <x:c r="L42" s="20"/>
    </x:row>
    <x:row r="43" ht="22" customHeight="1">
      <x:c r="A43" s="20"/>
      <x:c r="B43" s="22"/>
      <x:c r="C43" s="20"/>
      <x:c r="D43" t="str">
        <x:f>IF(C43="","",IFERROR(VLOOKUP(C43,Customers!$A$6:$B$155,2,FALSE),"INVALID CUSTOMER ID"))</x:f>
      </x:c>
      <x:c r="E43" s="20"/>
      <x:c r="F43" t="str">
        <x:f>IF(E43="","",IFERROR(VLOOKUP(E43,Products!$A$6:$B$110,2,FALSE),"INVALID SKU"))</x:f>
      </x:c>
      <x:c r="G43" s="20"/>
      <x:c r="H43" s="24" t="str">
        <x:f>IF(E43="","",IFERROR(VLOOKUP(E43,Products!$A$6:$D$110,4,FALSE),""))</x:f>
      </x:c>
      <x:c r="I43" s="25"/>
      <x:c r="J43" s="24" t="str">
        <x:f>IF(OR(G43="",I43=""),"",G43*I43)</x:f>
      </x:c>
      <x:c r="K43" s="20"/>
      <x:c r="L43" s="20"/>
    </x:row>
    <x:row r="44" ht="22" customHeight="1">
      <x:c r="A44" s="20"/>
      <x:c r="B44" s="22"/>
      <x:c r="C44" s="20"/>
      <x:c r="D44" t="str">
        <x:f>IF(C44="","",IFERROR(VLOOKUP(C44,Customers!$A$6:$B$155,2,FALSE),"INVALID CUSTOMER ID"))</x:f>
      </x:c>
      <x:c r="E44" s="20"/>
      <x:c r="F44" t="str">
        <x:f>IF(E44="","",IFERROR(VLOOKUP(E44,Products!$A$6:$B$110,2,FALSE),"INVALID SKU"))</x:f>
      </x:c>
      <x:c r="G44" s="20"/>
      <x:c r="H44" s="24" t="str">
        <x:f>IF(E44="","",IFERROR(VLOOKUP(E44,Products!$A$6:$D$110,4,FALSE),""))</x:f>
      </x:c>
      <x:c r="I44" s="25"/>
      <x:c r="J44" s="24" t="str">
        <x:f>IF(OR(G44="",I44=""),"",G44*I44)</x:f>
      </x:c>
      <x:c r="K44" s="20"/>
      <x:c r="L44" s="20"/>
    </x:row>
    <x:row r="45" ht="22" customHeight="1">
      <x:c r="A45" s="20"/>
      <x:c r="B45" s="22"/>
      <x:c r="C45" s="20"/>
      <x:c r="D45" t="str">
        <x:f>IF(C45="","",IFERROR(VLOOKUP(C45,Customers!$A$6:$B$155,2,FALSE),"INVALID CUSTOMER ID"))</x:f>
      </x:c>
      <x:c r="E45" s="20"/>
      <x:c r="F45" t="str">
        <x:f>IF(E45="","",IFERROR(VLOOKUP(E45,Products!$A$6:$B$110,2,FALSE),"INVALID SKU"))</x:f>
      </x:c>
      <x:c r="G45" s="20"/>
      <x:c r="H45" s="24" t="str">
        <x:f>IF(E45="","",IFERROR(VLOOKUP(E45,Products!$A$6:$D$110,4,FALSE),""))</x:f>
      </x:c>
      <x:c r="I45" s="25"/>
      <x:c r="J45" s="24" t="str">
        <x:f>IF(OR(G45="",I45=""),"",G45*I45)</x:f>
      </x:c>
      <x:c r="K45" s="20"/>
      <x:c r="L45" s="20"/>
    </x:row>
    <x:row r="46" ht="22" customHeight="1">
      <x:c r="A46" s="20"/>
      <x:c r="B46" s="22"/>
      <x:c r="C46" s="20"/>
      <x:c r="D46" t="str">
        <x:f>IF(C46="","",IFERROR(VLOOKUP(C46,Customers!$A$6:$B$155,2,FALSE),"INVALID CUSTOMER ID"))</x:f>
      </x:c>
      <x:c r="E46" s="20"/>
      <x:c r="F46" t="str">
        <x:f>IF(E46="","",IFERROR(VLOOKUP(E46,Products!$A$6:$B$110,2,FALSE),"INVALID SKU"))</x:f>
      </x:c>
      <x:c r="G46" s="20"/>
      <x:c r="H46" s="24" t="str">
        <x:f>IF(E46="","",IFERROR(VLOOKUP(E46,Products!$A$6:$D$110,4,FALSE),""))</x:f>
      </x:c>
      <x:c r="I46" s="25"/>
      <x:c r="J46" s="24" t="str">
        <x:f>IF(OR(G46="",I46=""),"",G46*I46)</x:f>
      </x:c>
      <x:c r="K46" s="20"/>
      <x:c r="L46" s="20"/>
    </x:row>
    <x:row r="47" ht="22" customHeight="1">
      <x:c r="A47" s="20"/>
      <x:c r="B47" s="22"/>
      <x:c r="C47" s="20"/>
      <x:c r="D47" t="str">
        <x:f>IF(C47="","",IFERROR(VLOOKUP(C47,Customers!$A$6:$B$155,2,FALSE),"INVALID CUSTOMER ID"))</x:f>
      </x:c>
      <x:c r="E47" s="20"/>
      <x:c r="F47" t="str">
        <x:f>IF(E47="","",IFERROR(VLOOKUP(E47,Products!$A$6:$B$110,2,FALSE),"INVALID SKU"))</x:f>
      </x:c>
      <x:c r="G47" s="20"/>
      <x:c r="H47" s="24" t="str">
        <x:f>IF(E47="","",IFERROR(VLOOKUP(E47,Products!$A$6:$D$110,4,FALSE),""))</x:f>
      </x:c>
      <x:c r="I47" s="25"/>
      <x:c r="J47" s="24" t="str">
        <x:f>IF(OR(G47="",I47=""),"",G47*I47)</x:f>
      </x:c>
      <x:c r="K47" s="20"/>
      <x:c r="L47" s="20"/>
    </x:row>
    <x:row r="48" ht="22" customHeight="1">
      <x:c r="A48" s="20"/>
      <x:c r="B48" s="22"/>
      <x:c r="C48" s="20"/>
      <x:c r="D48" t="str">
        <x:f>IF(C48="","",IFERROR(VLOOKUP(C48,Customers!$A$6:$B$155,2,FALSE),"INVALID CUSTOMER ID"))</x:f>
      </x:c>
      <x:c r="E48" s="20"/>
      <x:c r="F48" t="str">
        <x:f>IF(E48="","",IFERROR(VLOOKUP(E48,Products!$A$6:$B$110,2,FALSE),"INVALID SKU"))</x:f>
      </x:c>
      <x:c r="G48" s="20"/>
      <x:c r="H48" s="24" t="str">
        <x:f>IF(E48="","",IFERROR(VLOOKUP(E48,Products!$A$6:$D$110,4,FALSE),""))</x:f>
      </x:c>
      <x:c r="I48" s="25"/>
      <x:c r="J48" s="24" t="str">
        <x:f>IF(OR(G48="",I48=""),"",G48*I48)</x:f>
      </x:c>
      <x:c r="K48" s="20"/>
      <x:c r="L48" s="20"/>
    </x:row>
    <x:row r="49" ht="22" customHeight="1">
      <x:c r="A49" s="20"/>
      <x:c r="B49" s="22"/>
      <x:c r="C49" s="20"/>
      <x:c r="D49" t="str">
        <x:f>IF(C49="","",IFERROR(VLOOKUP(C49,Customers!$A$6:$B$155,2,FALSE),"INVALID CUSTOMER ID"))</x:f>
      </x:c>
      <x:c r="E49" s="20"/>
      <x:c r="F49" t="str">
        <x:f>IF(E49="","",IFERROR(VLOOKUP(E49,Products!$A$6:$B$110,2,FALSE),"INVALID SKU"))</x:f>
      </x:c>
      <x:c r="G49" s="20"/>
      <x:c r="H49" s="24" t="str">
        <x:f>IF(E49="","",IFERROR(VLOOKUP(E49,Products!$A$6:$D$110,4,FALSE),""))</x:f>
      </x:c>
      <x:c r="I49" s="25"/>
      <x:c r="J49" s="24" t="str">
        <x:f>IF(OR(G49="",I49=""),"",G49*I49)</x:f>
      </x:c>
      <x:c r="K49" s="20"/>
      <x:c r="L49" s="20"/>
    </x:row>
    <x:row r="50" ht="22" customHeight="1">
      <x:c r="A50" s="20"/>
      <x:c r="B50" s="22"/>
      <x:c r="C50" s="20"/>
      <x:c r="D50" t="str">
        <x:f>IF(C50="","",IFERROR(VLOOKUP(C50,Customers!$A$6:$B$155,2,FALSE),"INVALID CUSTOMER ID"))</x:f>
      </x:c>
      <x:c r="E50" s="20"/>
      <x:c r="F50" t="str">
        <x:f>IF(E50="","",IFERROR(VLOOKUP(E50,Products!$A$6:$B$110,2,FALSE),"INVALID SKU"))</x:f>
      </x:c>
      <x:c r="G50" s="20"/>
      <x:c r="H50" s="24" t="str">
        <x:f>IF(E50="","",IFERROR(VLOOKUP(E50,Products!$A$6:$D$110,4,FALSE),""))</x:f>
      </x:c>
      <x:c r="I50" s="25"/>
      <x:c r="J50" s="24" t="str">
        <x:f>IF(OR(G50="",I50=""),"",G50*I50)</x:f>
      </x:c>
      <x:c r="K50" s="20"/>
      <x:c r="L50" s="20"/>
    </x:row>
    <x:row r="51" ht="22" customHeight="1">
      <x:c r="A51" s="20"/>
      <x:c r="B51" s="22"/>
      <x:c r="C51" s="20"/>
      <x:c r="D51" t="str">
        <x:f>IF(C51="","",IFERROR(VLOOKUP(C51,Customers!$A$6:$B$155,2,FALSE),"INVALID CUSTOMER ID"))</x:f>
      </x:c>
      <x:c r="E51" s="20"/>
      <x:c r="F51" t="str">
        <x:f>IF(E51="","",IFERROR(VLOOKUP(E51,Products!$A$6:$B$110,2,FALSE),"INVALID SKU"))</x:f>
      </x:c>
      <x:c r="G51" s="20"/>
      <x:c r="H51" s="24" t="str">
        <x:f>IF(E51="","",IFERROR(VLOOKUP(E51,Products!$A$6:$D$110,4,FALSE),""))</x:f>
      </x:c>
      <x:c r="I51" s="25"/>
      <x:c r="J51" s="24" t="str">
        <x:f>IF(OR(G51="",I51=""),"",G51*I51)</x:f>
      </x:c>
      <x:c r="K51" s="20"/>
      <x:c r="L51" s="20"/>
    </x:row>
    <x:row r="52" ht="22" customHeight="1">
      <x:c r="A52" s="20"/>
      <x:c r="B52" s="22"/>
      <x:c r="C52" s="20"/>
      <x:c r="D52" t="str">
        <x:f>IF(C52="","",IFERROR(VLOOKUP(C52,Customers!$A$6:$B$155,2,FALSE),"INVALID CUSTOMER ID"))</x:f>
      </x:c>
      <x:c r="E52" s="20"/>
      <x:c r="F52" t="str">
        <x:f>IF(E52="","",IFERROR(VLOOKUP(E52,Products!$A$6:$B$110,2,FALSE),"INVALID SKU"))</x:f>
      </x:c>
      <x:c r="G52" s="20"/>
      <x:c r="H52" s="24" t="str">
        <x:f>IF(E52="","",IFERROR(VLOOKUP(E52,Products!$A$6:$D$110,4,FALSE),""))</x:f>
      </x:c>
      <x:c r="I52" s="25"/>
      <x:c r="J52" s="24" t="str">
        <x:f>IF(OR(G52="",I52=""),"",G52*I52)</x:f>
      </x:c>
      <x:c r="K52" s="20"/>
      <x:c r="L52" s="20"/>
    </x:row>
    <x:row r="53" ht="22" customHeight="1">
      <x:c r="A53" s="20"/>
      <x:c r="B53" s="22"/>
      <x:c r="C53" s="20"/>
      <x:c r="D53" t="str">
        <x:f>IF(C53="","",IFERROR(VLOOKUP(C53,Customers!$A$6:$B$155,2,FALSE),"INVALID CUSTOMER ID"))</x:f>
      </x:c>
      <x:c r="E53" s="20"/>
      <x:c r="F53" t="str">
        <x:f>IF(E53="","",IFERROR(VLOOKUP(E53,Products!$A$6:$B$110,2,FALSE),"INVALID SKU"))</x:f>
      </x:c>
      <x:c r="G53" s="20"/>
      <x:c r="H53" s="24" t="str">
        <x:f>IF(E53="","",IFERROR(VLOOKUP(E53,Products!$A$6:$D$110,4,FALSE),""))</x:f>
      </x:c>
      <x:c r="I53" s="25"/>
      <x:c r="J53" s="24" t="str">
        <x:f>IF(OR(G53="",I53=""),"",G53*I53)</x:f>
      </x:c>
      <x:c r="K53" s="20"/>
      <x:c r="L53" s="20"/>
    </x:row>
    <x:row r="54" ht="22" customHeight="1">
      <x:c r="A54" s="20"/>
      <x:c r="B54" s="22"/>
      <x:c r="C54" s="20"/>
      <x:c r="D54" t="str">
        <x:f>IF(C54="","",IFERROR(VLOOKUP(C54,Customers!$A$6:$B$155,2,FALSE),"INVALID CUSTOMER ID"))</x:f>
      </x:c>
      <x:c r="E54" s="20"/>
      <x:c r="F54" t="str">
        <x:f>IF(E54="","",IFERROR(VLOOKUP(E54,Products!$A$6:$B$110,2,FALSE),"INVALID SKU"))</x:f>
      </x:c>
      <x:c r="G54" s="20"/>
      <x:c r="H54" s="24" t="str">
        <x:f>IF(E54="","",IFERROR(VLOOKUP(E54,Products!$A$6:$D$110,4,FALSE),""))</x:f>
      </x:c>
      <x:c r="I54" s="25"/>
      <x:c r="J54" s="24" t="str">
        <x:f>IF(OR(G54="",I54=""),"",G54*I54)</x:f>
      </x:c>
      <x:c r="K54" s="20"/>
      <x:c r="L54" s="20"/>
    </x:row>
    <x:row r="55" ht="22" customHeight="1">
      <x:c r="A55" s="20"/>
      <x:c r="B55" s="22"/>
      <x:c r="C55" s="20"/>
      <x:c r="D55" t="str">
        <x:f>IF(C55="","",IFERROR(VLOOKUP(C55,Customers!$A$6:$B$155,2,FALSE),"INVALID CUSTOMER ID"))</x:f>
      </x:c>
      <x:c r="E55" s="20"/>
      <x:c r="F55" t="str">
        <x:f>IF(E55="","",IFERROR(VLOOKUP(E55,Products!$A$6:$B$110,2,FALSE),"INVALID SKU"))</x:f>
      </x:c>
      <x:c r="G55" s="20"/>
      <x:c r="H55" s="24" t="str">
        <x:f>IF(E55="","",IFERROR(VLOOKUP(E55,Products!$A$6:$D$110,4,FALSE),""))</x:f>
      </x:c>
      <x:c r="I55" s="25"/>
      <x:c r="J55" s="24" t="str">
        <x:f>IF(OR(G55="",I55=""),"",G55*I55)</x:f>
      </x:c>
      <x:c r="K55" s="20"/>
      <x:c r="L55" s="20"/>
    </x:row>
    <x:row r="56" ht="22" customHeight="1">
      <x:c r="A56" s="20"/>
      <x:c r="B56" s="22"/>
      <x:c r="C56" s="20"/>
      <x:c r="D56" t="str">
        <x:f>IF(C56="","",IFERROR(VLOOKUP(C56,Customers!$A$6:$B$155,2,FALSE),"INVALID CUSTOMER ID"))</x:f>
      </x:c>
      <x:c r="E56" s="20"/>
      <x:c r="F56" t="str">
        <x:f>IF(E56="","",IFERROR(VLOOKUP(E56,Products!$A$6:$B$110,2,FALSE),"INVALID SKU"))</x:f>
      </x:c>
      <x:c r="G56" s="20"/>
      <x:c r="H56" s="24" t="str">
        <x:f>IF(E56="","",IFERROR(VLOOKUP(E56,Products!$A$6:$D$110,4,FALSE),""))</x:f>
      </x:c>
      <x:c r="I56" s="25"/>
      <x:c r="J56" s="24" t="str">
        <x:f>IF(OR(G56="",I56=""),"",G56*I56)</x:f>
      </x:c>
      <x:c r="K56" s="20"/>
      <x:c r="L56" s="20"/>
    </x:row>
    <x:row r="57" ht="22" customHeight="1">
      <x:c r="A57" s="20"/>
      <x:c r="B57" s="22"/>
      <x:c r="C57" s="20"/>
      <x:c r="D57" t="str">
        <x:f>IF(C57="","",IFERROR(VLOOKUP(C57,Customers!$A$6:$B$155,2,FALSE),"INVALID CUSTOMER ID"))</x:f>
      </x:c>
      <x:c r="E57" s="20"/>
      <x:c r="F57" t="str">
        <x:f>IF(E57="","",IFERROR(VLOOKUP(E57,Products!$A$6:$B$110,2,FALSE),"INVALID SKU"))</x:f>
      </x:c>
      <x:c r="G57" s="20"/>
      <x:c r="H57" s="24" t="str">
        <x:f>IF(E57="","",IFERROR(VLOOKUP(E57,Products!$A$6:$D$110,4,FALSE),""))</x:f>
      </x:c>
      <x:c r="I57" s="25"/>
      <x:c r="J57" s="24" t="str">
        <x:f>IF(OR(G57="",I57=""),"",G57*I57)</x:f>
      </x:c>
      <x:c r="K57" s="20"/>
      <x:c r="L57" s="20"/>
    </x:row>
    <x:row r="58" ht="22" customHeight="1">
      <x:c r="A58" s="20"/>
      <x:c r="B58" s="22"/>
      <x:c r="C58" s="20"/>
      <x:c r="D58" t="str">
        <x:f>IF(C58="","",IFERROR(VLOOKUP(C58,Customers!$A$6:$B$155,2,FALSE),"INVALID CUSTOMER ID"))</x:f>
      </x:c>
      <x:c r="E58" s="20"/>
      <x:c r="F58" t="str">
        <x:f>IF(E58="","",IFERROR(VLOOKUP(E58,Products!$A$6:$B$110,2,FALSE),"INVALID SKU"))</x:f>
      </x:c>
      <x:c r="G58" s="20"/>
      <x:c r="H58" s="24" t="str">
        <x:f>IF(E58="","",IFERROR(VLOOKUP(E58,Products!$A$6:$D$110,4,FALSE),""))</x:f>
      </x:c>
      <x:c r="I58" s="25"/>
      <x:c r="J58" s="24" t="str">
        <x:f>IF(OR(G58="",I58=""),"",G58*I58)</x:f>
      </x:c>
      <x:c r="K58" s="20"/>
      <x:c r="L58" s="20"/>
    </x:row>
    <x:row r="59" ht="22" customHeight="1">
      <x:c r="A59" s="20"/>
      <x:c r="B59" s="22"/>
      <x:c r="C59" s="20"/>
      <x:c r="D59" t="str">
        <x:f>IF(C59="","",IFERROR(VLOOKUP(C59,Customers!$A$6:$B$155,2,FALSE),"INVALID CUSTOMER ID"))</x:f>
      </x:c>
      <x:c r="E59" s="20"/>
      <x:c r="F59" t="str">
        <x:f>IF(E59="","",IFERROR(VLOOKUP(E59,Products!$A$6:$B$110,2,FALSE),"INVALID SKU"))</x:f>
      </x:c>
      <x:c r="G59" s="20"/>
      <x:c r="H59" s="24" t="str">
        <x:f>IF(E59="","",IFERROR(VLOOKUP(E59,Products!$A$6:$D$110,4,FALSE),""))</x:f>
      </x:c>
      <x:c r="I59" s="25"/>
      <x:c r="J59" s="24" t="str">
        <x:f>IF(OR(G59="",I59=""),"",G59*I59)</x:f>
      </x:c>
      <x:c r="K59" s="20"/>
      <x:c r="L59" s="20"/>
    </x:row>
    <x:row r="60" ht="22" customHeight="1">
      <x:c r="A60" s="20"/>
      <x:c r="B60" s="22"/>
      <x:c r="C60" s="20"/>
      <x:c r="D60" t="str">
        <x:f>IF(C60="","",IFERROR(VLOOKUP(C60,Customers!$A$6:$B$155,2,FALSE),"INVALID CUSTOMER ID"))</x:f>
      </x:c>
      <x:c r="E60" s="20"/>
      <x:c r="F60" t="str">
        <x:f>IF(E60="","",IFERROR(VLOOKUP(E60,Products!$A$6:$B$110,2,FALSE),"INVALID SKU"))</x:f>
      </x:c>
      <x:c r="G60" s="20"/>
      <x:c r="H60" s="24" t="str">
        <x:f>IF(E60="","",IFERROR(VLOOKUP(E60,Products!$A$6:$D$110,4,FALSE),""))</x:f>
      </x:c>
      <x:c r="I60" s="25"/>
      <x:c r="J60" s="24" t="str">
        <x:f>IF(OR(G60="",I60=""),"",G60*I60)</x:f>
      </x:c>
      <x:c r="K60" s="20"/>
      <x:c r="L60" s="20"/>
    </x:row>
    <x:row r="61" ht="22" customHeight="1">
      <x:c r="A61" s="20"/>
      <x:c r="B61" s="22"/>
      <x:c r="C61" s="20"/>
      <x:c r="D61" t="str">
        <x:f>IF(C61="","",IFERROR(VLOOKUP(C61,Customers!$A$6:$B$155,2,FALSE),"INVALID CUSTOMER ID"))</x:f>
      </x:c>
      <x:c r="E61" s="20"/>
      <x:c r="F61" t="str">
        <x:f>IF(E61="","",IFERROR(VLOOKUP(E61,Products!$A$6:$B$110,2,FALSE),"INVALID SKU"))</x:f>
      </x:c>
      <x:c r="G61" s="20"/>
      <x:c r="H61" s="24" t="str">
        <x:f>IF(E61="","",IFERROR(VLOOKUP(E61,Products!$A$6:$D$110,4,FALSE),""))</x:f>
      </x:c>
      <x:c r="I61" s="25"/>
      <x:c r="J61" s="24" t="str">
        <x:f>IF(OR(G61="",I61=""),"",G61*I61)</x:f>
      </x:c>
      <x:c r="K61" s="20"/>
      <x:c r="L61" s="20"/>
    </x:row>
    <x:row r="62" ht="22" customHeight="1">
      <x:c r="A62" s="20"/>
      <x:c r="B62" s="22"/>
      <x:c r="C62" s="20"/>
      <x:c r="D62" t="str">
        <x:f>IF(C62="","",IFERROR(VLOOKUP(C62,Customers!$A$6:$B$155,2,FALSE),"INVALID CUSTOMER ID"))</x:f>
      </x:c>
      <x:c r="E62" s="20"/>
      <x:c r="F62" t="str">
        <x:f>IF(E62="","",IFERROR(VLOOKUP(E62,Products!$A$6:$B$110,2,FALSE),"INVALID SKU"))</x:f>
      </x:c>
      <x:c r="G62" s="20"/>
      <x:c r="H62" s="24" t="str">
        <x:f>IF(E62="","",IFERROR(VLOOKUP(E62,Products!$A$6:$D$110,4,FALSE),""))</x:f>
      </x:c>
      <x:c r="I62" s="25"/>
      <x:c r="J62" s="24" t="str">
        <x:f>IF(OR(G62="",I62=""),"",G62*I62)</x:f>
      </x:c>
      <x:c r="K62" s="20"/>
      <x:c r="L62" s="20"/>
    </x:row>
    <x:row r="63" ht="22" customHeight="1">
      <x:c r="A63" s="20"/>
      <x:c r="B63" s="22"/>
      <x:c r="C63" s="20"/>
      <x:c r="D63" t="str">
        <x:f>IF(C63="","",IFERROR(VLOOKUP(C63,Customers!$A$6:$B$155,2,FALSE),"INVALID CUSTOMER ID"))</x:f>
      </x:c>
      <x:c r="E63" s="20"/>
      <x:c r="F63" t="str">
        <x:f>IF(E63="","",IFERROR(VLOOKUP(E63,Products!$A$6:$B$110,2,FALSE),"INVALID SKU"))</x:f>
      </x:c>
      <x:c r="G63" s="20"/>
      <x:c r="H63" s="24" t="str">
        <x:f>IF(E63="","",IFERROR(VLOOKUP(E63,Products!$A$6:$D$110,4,FALSE),""))</x:f>
      </x:c>
      <x:c r="I63" s="25"/>
      <x:c r="J63" s="24" t="str">
        <x:f>IF(OR(G63="",I63=""),"",G63*I63)</x:f>
      </x:c>
      <x:c r="K63" s="20"/>
      <x:c r="L63" s="20"/>
    </x:row>
    <x:row r="64" ht="22" customHeight="1">
      <x:c r="A64" s="20"/>
      <x:c r="B64" s="22"/>
      <x:c r="C64" s="20"/>
      <x:c r="D64" t="str">
        <x:f>IF(C64="","",IFERROR(VLOOKUP(C64,Customers!$A$6:$B$155,2,FALSE),"INVALID CUSTOMER ID"))</x:f>
      </x:c>
      <x:c r="E64" s="20"/>
      <x:c r="F64" t="str">
        <x:f>IF(E64="","",IFERROR(VLOOKUP(E64,Products!$A$6:$B$110,2,FALSE),"INVALID SKU"))</x:f>
      </x:c>
      <x:c r="G64" s="20"/>
      <x:c r="H64" s="24" t="str">
        <x:f>IF(E64="","",IFERROR(VLOOKUP(E64,Products!$A$6:$D$110,4,FALSE),""))</x:f>
      </x:c>
      <x:c r="I64" s="25"/>
      <x:c r="J64" s="24" t="str">
        <x:f>IF(OR(G64="",I64=""),"",G64*I64)</x:f>
      </x:c>
      <x:c r="K64" s="20"/>
      <x:c r="L64" s="20"/>
    </x:row>
    <x:row r="65" ht="22" customHeight="1">
      <x:c r="A65" s="20"/>
      <x:c r="B65" s="22"/>
      <x:c r="C65" s="20"/>
      <x:c r="D65" t="str">
        <x:f>IF(C65="","",IFERROR(VLOOKUP(C65,Customers!$A$6:$B$155,2,FALSE),"INVALID CUSTOMER ID"))</x:f>
      </x:c>
      <x:c r="E65" s="20"/>
      <x:c r="F65" t="str">
        <x:f>IF(E65="","",IFERROR(VLOOKUP(E65,Products!$A$6:$B$110,2,FALSE),"INVALID SKU"))</x:f>
      </x:c>
      <x:c r="G65" s="20"/>
      <x:c r="H65" s="24" t="str">
        <x:f>IF(E65="","",IFERROR(VLOOKUP(E65,Products!$A$6:$D$110,4,FALSE),""))</x:f>
      </x:c>
      <x:c r="I65" s="25"/>
      <x:c r="J65" s="24" t="str">
        <x:f>IF(OR(G65="",I65=""),"",G65*I65)</x:f>
      </x:c>
      <x:c r="K65" s="20"/>
      <x:c r="L65" s="20"/>
    </x:row>
    <x:row r="66" ht="22" customHeight="1">
      <x:c r="A66" s="20"/>
      <x:c r="B66" s="22"/>
      <x:c r="C66" s="20"/>
      <x:c r="D66" t="str">
        <x:f>IF(C66="","",IFERROR(VLOOKUP(C66,Customers!$A$6:$B$155,2,FALSE),"INVALID CUSTOMER ID"))</x:f>
      </x:c>
      <x:c r="E66" s="20"/>
      <x:c r="F66" t="str">
        <x:f>IF(E66="","",IFERROR(VLOOKUP(E66,Products!$A$6:$B$110,2,FALSE),"INVALID SKU"))</x:f>
      </x:c>
      <x:c r="G66" s="20"/>
      <x:c r="H66" s="24" t="str">
        <x:f>IF(E66="","",IFERROR(VLOOKUP(E66,Products!$A$6:$D$110,4,FALSE),""))</x:f>
      </x:c>
      <x:c r="I66" s="25"/>
      <x:c r="J66" s="24" t="str">
        <x:f>IF(OR(G66="",I66=""),"",G66*I66)</x:f>
      </x:c>
      <x:c r="K66" s="20"/>
      <x:c r="L66" s="20"/>
    </x:row>
    <x:row r="67" ht="22" customHeight="1">
      <x:c r="A67" s="20"/>
      <x:c r="B67" s="22"/>
      <x:c r="C67" s="20"/>
      <x:c r="D67" t="str">
        <x:f>IF(C67="","",IFERROR(VLOOKUP(C67,Customers!$A$6:$B$155,2,FALSE),"INVALID CUSTOMER ID"))</x:f>
      </x:c>
      <x:c r="E67" s="20"/>
      <x:c r="F67" t="str">
        <x:f>IF(E67="","",IFERROR(VLOOKUP(E67,Products!$A$6:$B$110,2,FALSE),"INVALID SKU"))</x:f>
      </x:c>
      <x:c r="G67" s="20"/>
      <x:c r="H67" s="24" t="str">
        <x:f>IF(E67="","",IFERROR(VLOOKUP(E67,Products!$A$6:$D$110,4,FALSE),""))</x:f>
      </x:c>
      <x:c r="I67" s="25"/>
      <x:c r="J67" s="24" t="str">
        <x:f>IF(OR(G67="",I67=""),"",G67*I67)</x:f>
      </x:c>
      <x:c r="K67" s="20"/>
      <x:c r="L67" s="20"/>
    </x:row>
    <x:row r="68" ht="22" customHeight="1">
      <x:c r="A68" s="20"/>
      <x:c r="B68" s="22"/>
      <x:c r="C68" s="20"/>
      <x:c r="D68" t="str">
        <x:f>IF(C68="","",IFERROR(VLOOKUP(C68,Customers!$A$6:$B$155,2,FALSE),"INVALID CUSTOMER ID"))</x:f>
      </x:c>
      <x:c r="E68" s="20"/>
      <x:c r="F68" t="str">
        <x:f>IF(E68="","",IFERROR(VLOOKUP(E68,Products!$A$6:$B$110,2,FALSE),"INVALID SKU"))</x:f>
      </x:c>
      <x:c r="G68" s="20"/>
      <x:c r="H68" s="24" t="str">
        <x:f>IF(E68="","",IFERROR(VLOOKUP(E68,Products!$A$6:$D$110,4,FALSE),""))</x:f>
      </x:c>
      <x:c r="I68" s="25"/>
      <x:c r="J68" s="24" t="str">
        <x:f>IF(OR(G68="",I68=""),"",G68*I68)</x:f>
      </x:c>
      <x:c r="K68" s="20"/>
      <x:c r="L68" s="20"/>
    </x:row>
    <x:row r="69" ht="22" customHeight="1">
      <x:c r="A69" s="20"/>
      <x:c r="B69" s="22"/>
      <x:c r="C69" s="20"/>
      <x:c r="D69" t="str">
        <x:f>IF(C69="","",IFERROR(VLOOKUP(C69,Customers!$A$6:$B$155,2,FALSE),"INVALID CUSTOMER ID"))</x:f>
      </x:c>
      <x:c r="E69" s="20"/>
      <x:c r="F69" t="str">
        <x:f>IF(E69="","",IFERROR(VLOOKUP(E69,Products!$A$6:$B$110,2,FALSE),"INVALID SKU"))</x:f>
      </x:c>
      <x:c r="G69" s="20"/>
      <x:c r="H69" s="24" t="str">
        <x:f>IF(E69="","",IFERROR(VLOOKUP(E69,Products!$A$6:$D$110,4,FALSE),""))</x:f>
      </x:c>
      <x:c r="I69" s="25"/>
      <x:c r="J69" s="24" t="str">
        <x:f>IF(OR(G69="",I69=""),"",G69*I69)</x:f>
      </x:c>
      <x:c r="K69" s="20"/>
      <x:c r="L69" s="20"/>
    </x:row>
    <x:row r="70" ht="22" customHeight="1">
      <x:c r="A70" s="20"/>
      <x:c r="B70" s="22"/>
      <x:c r="C70" s="20"/>
      <x:c r="D70" t="str">
        <x:f>IF(C70="","",IFERROR(VLOOKUP(C70,Customers!$A$6:$B$155,2,FALSE),"INVALID CUSTOMER ID"))</x:f>
      </x:c>
      <x:c r="E70" s="20"/>
      <x:c r="F70" t="str">
        <x:f>IF(E70="","",IFERROR(VLOOKUP(E70,Products!$A$6:$B$110,2,FALSE),"INVALID SKU"))</x:f>
      </x:c>
      <x:c r="G70" s="20"/>
      <x:c r="H70" s="24" t="str">
        <x:f>IF(E70="","",IFERROR(VLOOKUP(E70,Products!$A$6:$D$110,4,FALSE),""))</x:f>
      </x:c>
      <x:c r="I70" s="25"/>
      <x:c r="J70" s="24" t="str">
        <x:f>IF(OR(G70="",I70=""),"",G70*I70)</x:f>
      </x:c>
      <x:c r="K70" s="20"/>
      <x:c r="L70" s="20"/>
    </x:row>
    <x:row r="71" ht="22" customHeight="1">
      <x:c r="A71" s="20"/>
      <x:c r="B71" s="22"/>
      <x:c r="C71" s="20"/>
      <x:c r="D71" t="str">
        <x:f>IF(C71="","",IFERROR(VLOOKUP(C71,Customers!$A$6:$B$155,2,FALSE),"INVALID CUSTOMER ID"))</x:f>
      </x:c>
      <x:c r="E71" s="20"/>
      <x:c r="F71" t="str">
        <x:f>IF(E71="","",IFERROR(VLOOKUP(E71,Products!$A$6:$B$110,2,FALSE),"INVALID SKU"))</x:f>
      </x:c>
      <x:c r="G71" s="20"/>
      <x:c r="H71" s="24" t="str">
        <x:f>IF(E71="","",IFERROR(VLOOKUP(E71,Products!$A$6:$D$110,4,FALSE),""))</x:f>
      </x:c>
      <x:c r="I71" s="25"/>
      <x:c r="J71" s="24" t="str">
        <x:f>IF(OR(G71="",I71=""),"",G71*I71)</x:f>
      </x:c>
      <x:c r="K71" s="20"/>
      <x:c r="L71" s="20"/>
    </x:row>
    <x:row r="72" ht="22" customHeight="1">
      <x:c r="A72" s="20"/>
      <x:c r="B72" s="22"/>
      <x:c r="C72" s="20"/>
      <x:c r="D72" t="str">
        <x:f>IF(C72="","",IFERROR(VLOOKUP(C72,Customers!$A$6:$B$155,2,FALSE),"INVALID CUSTOMER ID"))</x:f>
      </x:c>
      <x:c r="E72" s="20"/>
      <x:c r="F72" t="str">
        <x:f>IF(E72="","",IFERROR(VLOOKUP(E72,Products!$A$6:$B$110,2,FALSE),"INVALID SKU"))</x:f>
      </x:c>
      <x:c r="G72" s="20"/>
      <x:c r="H72" s="24" t="str">
        <x:f>IF(E72="","",IFERROR(VLOOKUP(E72,Products!$A$6:$D$110,4,FALSE),""))</x:f>
      </x:c>
      <x:c r="I72" s="25"/>
      <x:c r="J72" s="24" t="str">
        <x:f>IF(OR(G72="",I72=""),"",G72*I72)</x:f>
      </x:c>
      <x:c r="K72" s="20"/>
      <x:c r="L72" s="20"/>
    </x:row>
    <x:row r="73" ht="22" customHeight="1">
      <x:c r="A73" s="20"/>
      <x:c r="B73" s="22"/>
      <x:c r="C73" s="20"/>
      <x:c r="D73" t="str">
        <x:f>IF(C73="","",IFERROR(VLOOKUP(C73,Customers!$A$6:$B$155,2,FALSE),"INVALID CUSTOMER ID"))</x:f>
      </x:c>
      <x:c r="E73" s="20"/>
      <x:c r="F73" t="str">
        <x:f>IF(E73="","",IFERROR(VLOOKUP(E73,Products!$A$6:$B$110,2,FALSE),"INVALID SKU"))</x:f>
      </x:c>
      <x:c r="G73" s="20"/>
      <x:c r="H73" s="24" t="str">
        <x:f>IF(E73="","",IFERROR(VLOOKUP(E73,Products!$A$6:$D$110,4,FALSE),""))</x:f>
      </x:c>
      <x:c r="I73" s="25"/>
      <x:c r="J73" s="24" t="str">
        <x:f>IF(OR(G73="",I73=""),"",G73*I73)</x:f>
      </x:c>
      <x:c r="K73" s="20"/>
      <x:c r="L73" s="20"/>
    </x:row>
    <x:row r="74" ht="22" customHeight="1">
      <x:c r="A74" s="20"/>
      <x:c r="B74" s="22"/>
      <x:c r="C74" s="20"/>
      <x:c r="D74" t="str">
        <x:f>IF(C74="","",IFERROR(VLOOKUP(C74,Customers!$A$6:$B$155,2,FALSE),"INVALID CUSTOMER ID"))</x:f>
      </x:c>
      <x:c r="E74" s="20"/>
      <x:c r="F74" t="str">
        <x:f>IF(E74="","",IFERROR(VLOOKUP(E74,Products!$A$6:$B$110,2,FALSE),"INVALID SKU"))</x:f>
      </x:c>
      <x:c r="G74" s="20"/>
      <x:c r="H74" s="24" t="str">
        <x:f>IF(E74="","",IFERROR(VLOOKUP(E74,Products!$A$6:$D$110,4,FALSE),""))</x:f>
      </x:c>
      <x:c r="I74" s="25"/>
      <x:c r="J74" s="24" t="str">
        <x:f>IF(OR(G74="",I74=""),"",G74*I74)</x:f>
      </x:c>
      <x:c r="K74" s="20"/>
      <x:c r="L74" s="20"/>
    </x:row>
    <x:row r="75" ht="22" customHeight="1">
      <x:c r="A75" s="20"/>
      <x:c r="B75" s="22"/>
      <x:c r="C75" s="20"/>
      <x:c r="D75" t="str">
        <x:f>IF(C75="","",IFERROR(VLOOKUP(C75,Customers!$A$6:$B$155,2,FALSE),"INVALID CUSTOMER ID"))</x:f>
      </x:c>
      <x:c r="E75" s="20"/>
      <x:c r="F75" t="str">
        <x:f>IF(E75="","",IFERROR(VLOOKUP(E75,Products!$A$6:$B$110,2,FALSE),"INVALID SKU"))</x:f>
      </x:c>
      <x:c r="G75" s="20"/>
      <x:c r="H75" s="24" t="str">
        <x:f>IF(E75="","",IFERROR(VLOOKUP(E75,Products!$A$6:$D$110,4,FALSE),""))</x:f>
      </x:c>
      <x:c r="I75" s="25"/>
      <x:c r="J75" s="24" t="str">
        <x:f>IF(OR(G75="",I75=""),"",G75*I75)</x:f>
      </x:c>
      <x:c r="K75" s="20"/>
      <x:c r="L75" s="20"/>
    </x:row>
    <x:row r="76" ht="22" customHeight="1">
      <x:c r="A76" s="20"/>
      <x:c r="B76" s="22"/>
      <x:c r="C76" s="20"/>
      <x:c r="D76" t="str">
        <x:f>IF(C76="","",IFERROR(VLOOKUP(C76,Customers!$A$6:$B$155,2,FALSE),"INVALID CUSTOMER ID"))</x:f>
      </x:c>
      <x:c r="E76" s="20"/>
      <x:c r="F76" t="str">
        <x:f>IF(E76="","",IFERROR(VLOOKUP(E76,Products!$A$6:$B$110,2,FALSE),"INVALID SKU"))</x:f>
      </x:c>
      <x:c r="G76" s="20"/>
      <x:c r="H76" s="24" t="str">
        <x:f>IF(E76="","",IFERROR(VLOOKUP(E76,Products!$A$6:$D$110,4,FALSE),""))</x:f>
      </x:c>
      <x:c r="I76" s="25"/>
      <x:c r="J76" s="24" t="str">
        <x:f>IF(OR(G76="",I76=""),"",G76*I76)</x:f>
      </x:c>
      <x:c r="K76" s="20"/>
      <x:c r="L76" s="20"/>
    </x:row>
    <x:row r="77" ht="22" customHeight="1">
      <x:c r="A77" s="20"/>
      <x:c r="B77" s="22"/>
      <x:c r="C77" s="20"/>
      <x:c r="D77" t="str">
        <x:f>IF(C77="","",IFERROR(VLOOKUP(C77,Customers!$A$6:$B$155,2,FALSE),"INVALID CUSTOMER ID"))</x:f>
      </x:c>
      <x:c r="E77" s="20"/>
      <x:c r="F77" t="str">
        <x:f>IF(E77="","",IFERROR(VLOOKUP(E77,Products!$A$6:$B$110,2,FALSE),"INVALID SKU"))</x:f>
      </x:c>
      <x:c r="G77" s="20"/>
      <x:c r="H77" s="24" t="str">
        <x:f>IF(E77="","",IFERROR(VLOOKUP(E77,Products!$A$6:$D$110,4,FALSE),""))</x:f>
      </x:c>
      <x:c r="I77" s="25"/>
      <x:c r="J77" s="24" t="str">
        <x:f>IF(OR(G77="",I77=""),"",G77*I77)</x:f>
      </x:c>
      <x:c r="K77" s="20"/>
      <x:c r="L77" s="20"/>
    </x:row>
    <x:row r="78" ht="22" customHeight="1">
      <x:c r="A78" s="20"/>
      <x:c r="B78" s="22"/>
      <x:c r="C78" s="20"/>
      <x:c r="D78" t="str">
        <x:f>IF(C78="","",IFERROR(VLOOKUP(C78,Customers!$A$6:$B$155,2,FALSE),"INVALID CUSTOMER ID"))</x:f>
      </x:c>
      <x:c r="E78" s="20"/>
      <x:c r="F78" t="str">
        <x:f>IF(E78="","",IFERROR(VLOOKUP(E78,Products!$A$6:$B$110,2,FALSE),"INVALID SKU"))</x:f>
      </x:c>
      <x:c r="G78" s="20"/>
      <x:c r="H78" s="24" t="str">
        <x:f>IF(E78="","",IFERROR(VLOOKUP(E78,Products!$A$6:$D$110,4,FALSE),""))</x:f>
      </x:c>
      <x:c r="I78" s="25"/>
      <x:c r="J78" s="24" t="str">
        <x:f>IF(OR(G78="",I78=""),"",G78*I78)</x:f>
      </x:c>
      <x:c r="K78" s="20"/>
      <x:c r="L78" s="20"/>
    </x:row>
    <x:row r="79" ht="22" customHeight="1">
      <x:c r="A79" s="20"/>
      <x:c r="B79" s="22"/>
      <x:c r="C79" s="20"/>
      <x:c r="D79" t="str">
        <x:f>IF(C79="","",IFERROR(VLOOKUP(C79,Customers!$A$6:$B$155,2,FALSE),"INVALID CUSTOMER ID"))</x:f>
      </x:c>
      <x:c r="E79" s="20"/>
      <x:c r="F79" t="str">
        <x:f>IF(E79="","",IFERROR(VLOOKUP(E79,Products!$A$6:$B$110,2,FALSE),"INVALID SKU"))</x:f>
      </x:c>
      <x:c r="G79" s="20"/>
      <x:c r="H79" s="24" t="str">
        <x:f>IF(E79="","",IFERROR(VLOOKUP(E79,Products!$A$6:$D$110,4,FALSE),""))</x:f>
      </x:c>
      <x:c r="I79" s="25"/>
      <x:c r="J79" s="24" t="str">
        <x:f>IF(OR(G79="",I79=""),"",G79*I79)</x:f>
      </x:c>
      <x:c r="K79" s="20"/>
      <x:c r="L79" s="20"/>
    </x:row>
    <x:row r="80" ht="22" customHeight="1">
      <x:c r="A80" s="20"/>
      <x:c r="B80" s="22"/>
      <x:c r="C80" s="20"/>
      <x:c r="D80" t="str">
        <x:f>IF(C80="","",IFERROR(VLOOKUP(C80,Customers!$A$6:$B$155,2,FALSE),"INVALID CUSTOMER ID"))</x:f>
      </x:c>
      <x:c r="E80" s="20"/>
      <x:c r="F80" t="str">
        <x:f>IF(E80="","",IFERROR(VLOOKUP(E80,Products!$A$6:$B$110,2,FALSE),"INVALID SKU"))</x:f>
      </x:c>
      <x:c r="G80" s="20"/>
      <x:c r="H80" s="24" t="str">
        <x:f>IF(E80="","",IFERROR(VLOOKUP(E80,Products!$A$6:$D$110,4,FALSE),""))</x:f>
      </x:c>
      <x:c r="I80" s="25"/>
      <x:c r="J80" s="24" t="str">
        <x:f>IF(OR(G80="",I80=""),"",G80*I80)</x:f>
      </x:c>
      <x:c r="K80" s="20"/>
      <x:c r="L80" s="20"/>
    </x:row>
    <x:row r="81" ht="22" customHeight="1">
      <x:c r="A81" s="20"/>
      <x:c r="B81" s="22"/>
      <x:c r="C81" s="20"/>
      <x:c r="D81" t="str">
        <x:f>IF(C81="","",IFERROR(VLOOKUP(C81,Customers!$A$6:$B$155,2,FALSE),"INVALID CUSTOMER ID"))</x:f>
      </x:c>
      <x:c r="E81" s="20"/>
      <x:c r="F81" t="str">
        <x:f>IF(E81="","",IFERROR(VLOOKUP(E81,Products!$A$6:$B$110,2,FALSE),"INVALID SKU"))</x:f>
      </x:c>
      <x:c r="G81" s="20"/>
      <x:c r="H81" s="24" t="str">
        <x:f>IF(E81="","",IFERROR(VLOOKUP(E81,Products!$A$6:$D$110,4,FALSE),""))</x:f>
      </x:c>
      <x:c r="I81" s="25"/>
      <x:c r="J81" s="24" t="str">
        <x:f>IF(OR(G81="",I81=""),"",G81*I81)</x:f>
      </x:c>
      <x:c r="K81" s="20"/>
      <x:c r="L81" s="20"/>
    </x:row>
    <x:row r="82" ht="22" customHeight="1">
      <x:c r="A82" s="20"/>
      <x:c r="B82" s="22"/>
      <x:c r="C82" s="20"/>
      <x:c r="D82" t="str">
        <x:f>IF(C82="","",IFERROR(VLOOKUP(C82,Customers!$A$6:$B$155,2,FALSE),"INVALID CUSTOMER ID"))</x:f>
      </x:c>
      <x:c r="E82" s="20"/>
      <x:c r="F82" t="str">
        <x:f>IF(E82="","",IFERROR(VLOOKUP(E82,Products!$A$6:$B$110,2,FALSE),"INVALID SKU"))</x:f>
      </x:c>
      <x:c r="G82" s="20"/>
      <x:c r="H82" s="24" t="str">
        <x:f>IF(E82="","",IFERROR(VLOOKUP(E82,Products!$A$6:$D$110,4,FALSE),""))</x:f>
      </x:c>
      <x:c r="I82" s="25"/>
      <x:c r="J82" s="24" t="str">
        <x:f>IF(OR(G82="",I82=""),"",G82*I82)</x:f>
      </x:c>
      <x:c r="K82" s="20"/>
      <x:c r="L82" s="20"/>
    </x:row>
    <x:row r="83" ht="22" customHeight="1">
      <x:c r="A83" s="20"/>
      <x:c r="B83" s="22"/>
      <x:c r="C83" s="20"/>
      <x:c r="D83" t="str">
        <x:f>IF(C83="","",IFERROR(VLOOKUP(C83,Customers!$A$6:$B$155,2,FALSE),"INVALID CUSTOMER ID"))</x:f>
      </x:c>
      <x:c r="E83" s="20"/>
      <x:c r="F83" t="str">
        <x:f>IF(E83="","",IFERROR(VLOOKUP(E83,Products!$A$6:$B$110,2,FALSE),"INVALID SKU"))</x:f>
      </x:c>
      <x:c r="G83" s="20"/>
      <x:c r="H83" s="24" t="str">
        <x:f>IF(E83="","",IFERROR(VLOOKUP(E83,Products!$A$6:$D$110,4,FALSE),""))</x:f>
      </x:c>
      <x:c r="I83" s="25"/>
      <x:c r="J83" s="24" t="str">
        <x:f>IF(OR(G83="",I83=""),"",G83*I83)</x:f>
      </x:c>
      <x:c r="K83" s="20"/>
      <x:c r="L83" s="20"/>
    </x:row>
    <x:row r="84" ht="22" customHeight="1">
      <x:c r="A84" s="20"/>
      <x:c r="B84" s="22"/>
      <x:c r="C84" s="20"/>
      <x:c r="D84" t="str">
        <x:f>IF(C84="","",IFERROR(VLOOKUP(C84,Customers!$A$6:$B$155,2,FALSE),"INVALID CUSTOMER ID"))</x:f>
      </x:c>
      <x:c r="E84" s="20"/>
      <x:c r="F84" t="str">
        <x:f>IF(E84="","",IFERROR(VLOOKUP(E84,Products!$A$6:$B$110,2,FALSE),"INVALID SKU"))</x:f>
      </x:c>
      <x:c r="G84" s="20"/>
      <x:c r="H84" s="24" t="str">
        <x:f>IF(E84="","",IFERROR(VLOOKUP(E84,Products!$A$6:$D$110,4,FALSE),""))</x:f>
      </x:c>
      <x:c r="I84" s="25"/>
      <x:c r="J84" s="24" t="str">
        <x:f>IF(OR(G84="",I84=""),"",G84*I84)</x:f>
      </x:c>
      <x:c r="K84" s="20"/>
      <x:c r="L84" s="20"/>
    </x:row>
    <x:row r="85" ht="22" customHeight="1">
      <x:c r="A85" s="20"/>
      <x:c r="B85" s="22"/>
      <x:c r="C85" s="20"/>
      <x:c r="D85" t="str">
        <x:f>IF(C85="","",IFERROR(VLOOKUP(C85,Customers!$A$6:$B$155,2,FALSE),"INVALID CUSTOMER ID"))</x:f>
      </x:c>
      <x:c r="E85" s="20"/>
      <x:c r="F85" t="str">
        <x:f>IF(E85="","",IFERROR(VLOOKUP(E85,Products!$A$6:$B$110,2,FALSE),"INVALID SKU"))</x:f>
      </x:c>
      <x:c r="G85" s="20"/>
      <x:c r="H85" s="24" t="str">
        <x:f>IF(E85="","",IFERROR(VLOOKUP(E85,Products!$A$6:$D$110,4,FALSE),""))</x:f>
      </x:c>
      <x:c r="I85" s="25"/>
      <x:c r="J85" s="24" t="str">
        <x:f>IF(OR(G85="",I85=""),"",G85*I85)</x:f>
      </x:c>
      <x:c r="K85" s="20"/>
      <x:c r="L85" s="20"/>
    </x:row>
    <x:row r="86" ht="22" customHeight="1">
      <x:c r="A86" s="20"/>
      <x:c r="B86" s="22"/>
      <x:c r="C86" s="20"/>
      <x:c r="D86" t="str">
        <x:f>IF(C86="","",IFERROR(VLOOKUP(C86,Customers!$A$6:$B$155,2,FALSE),"INVALID CUSTOMER ID"))</x:f>
      </x:c>
      <x:c r="E86" s="20"/>
      <x:c r="F86" t="str">
        <x:f>IF(E86="","",IFERROR(VLOOKUP(E86,Products!$A$6:$B$110,2,FALSE),"INVALID SKU"))</x:f>
      </x:c>
      <x:c r="G86" s="20"/>
      <x:c r="H86" s="24" t="str">
        <x:f>IF(E86="","",IFERROR(VLOOKUP(E86,Products!$A$6:$D$110,4,FALSE),""))</x:f>
      </x:c>
      <x:c r="I86" s="25"/>
      <x:c r="J86" s="24" t="str">
        <x:f>IF(OR(G86="",I86=""),"",G86*I86)</x:f>
      </x:c>
      <x:c r="K86" s="20"/>
      <x:c r="L86" s="20"/>
    </x:row>
    <x:row r="87" ht="22" customHeight="1">
      <x:c r="A87" s="20"/>
      <x:c r="B87" s="22"/>
      <x:c r="C87" s="20"/>
      <x:c r="D87" t="str">
        <x:f>IF(C87="","",IFERROR(VLOOKUP(C87,Customers!$A$6:$B$155,2,FALSE),"INVALID CUSTOMER ID"))</x:f>
      </x:c>
      <x:c r="E87" s="20"/>
      <x:c r="F87" t="str">
        <x:f>IF(E87="","",IFERROR(VLOOKUP(E87,Products!$A$6:$B$110,2,FALSE),"INVALID SKU"))</x:f>
      </x:c>
      <x:c r="G87" s="20"/>
      <x:c r="H87" s="24" t="str">
        <x:f>IF(E87="","",IFERROR(VLOOKUP(E87,Products!$A$6:$D$110,4,FALSE),""))</x:f>
      </x:c>
      <x:c r="I87" s="25"/>
      <x:c r="J87" s="24" t="str">
        <x:f>IF(OR(G87="",I87=""),"",G87*I87)</x:f>
      </x:c>
      <x:c r="K87" s="20"/>
      <x:c r="L87" s="20"/>
    </x:row>
    <x:row r="88" ht="22" customHeight="1">
      <x:c r="A88" s="20"/>
      <x:c r="B88" s="22"/>
      <x:c r="C88" s="20"/>
      <x:c r="D88" t="str">
        <x:f>IF(C88="","",IFERROR(VLOOKUP(C88,Customers!$A$6:$B$155,2,FALSE),"INVALID CUSTOMER ID"))</x:f>
      </x:c>
      <x:c r="E88" s="20"/>
      <x:c r="F88" t="str">
        <x:f>IF(E88="","",IFERROR(VLOOKUP(E88,Products!$A$6:$B$110,2,FALSE),"INVALID SKU"))</x:f>
      </x:c>
      <x:c r="G88" s="20"/>
      <x:c r="H88" s="24" t="str">
        <x:f>IF(E88="","",IFERROR(VLOOKUP(E88,Products!$A$6:$D$110,4,FALSE),""))</x:f>
      </x:c>
      <x:c r="I88" s="25"/>
      <x:c r="J88" s="24" t="str">
        <x:f>IF(OR(G88="",I88=""),"",G88*I88)</x:f>
      </x:c>
      <x:c r="K88" s="20"/>
      <x:c r="L88" s="20"/>
    </x:row>
    <x:row r="89" ht="22" customHeight="1">
      <x:c r="A89" s="20"/>
      <x:c r="B89" s="22"/>
      <x:c r="C89" s="20"/>
      <x:c r="D89" t="str">
        <x:f>IF(C89="","",IFERROR(VLOOKUP(C89,Customers!$A$6:$B$155,2,FALSE),"INVALID CUSTOMER ID"))</x:f>
      </x:c>
      <x:c r="E89" s="20"/>
      <x:c r="F89" t="str">
        <x:f>IF(E89="","",IFERROR(VLOOKUP(E89,Products!$A$6:$B$110,2,FALSE),"INVALID SKU"))</x:f>
      </x:c>
      <x:c r="G89" s="20"/>
      <x:c r="H89" s="24" t="str">
        <x:f>IF(E89="","",IFERROR(VLOOKUP(E89,Products!$A$6:$D$110,4,FALSE),""))</x:f>
      </x:c>
      <x:c r="I89" s="25"/>
      <x:c r="J89" s="24" t="str">
        <x:f>IF(OR(G89="",I89=""),"",G89*I89)</x:f>
      </x:c>
      <x:c r="K89" s="20"/>
      <x:c r="L89" s="20"/>
    </x:row>
    <x:row r="90" ht="22" customHeight="1">
      <x:c r="A90" s="20"/>
      <x:c r="B90" s="22"/>
      <x:c r="C90" s="20"/>
      <x:c r="D90" t="str">
        <x:f>IF(C90="","",IFERROR(VLOOKUP(C90,Customers!$A$6:$B$155,2,FALSE),"INVALID CUSTOMER ID"))</x:f>
      </x:c>
      <x:c r="E90" s="20"/>
      <x:c r="F90" t="str">
        <x:f>IF(E90="","",IFERROR(VLOOKUP(E90,Products!$A$6:$B$110,2,FALSE),"INVALID SKU"))</x:f>
      </x:c>
      <x:c r="G90" s="20"/>
      <x:c r="H90" s="24" t="str">
        <x:f>IF(E90="","",IFERROR(VLOOKUP(E90,Products!$A$6:$D$110,4,FALSE),""))</x:f>
      </x:c>
      <x:c r="I90" s="25"/>
      <x:c r="J90" s="24" t="str">
        <x:f>IF(OR(G90="",I90=""),"",G90*I90)</x:f>
      </x:c>
      <x:c r="K90" s="20"/>
      <x:c r="L90" s="20"/>
    </x:row>
    <x:row r="91" ht="22" customHeight="1">
      <x:c r="A91" s="20"/>
      <x:c r="B91" s="22"/>
      <x:c r="C91" s="20"/>
      <x:c r="D91" t="str">
        <x:f>IF(C91="","",IFERROR(VLOOKUP(C91,Customers!$A$6:$B$155,2,FALSE),"INVALID CUSTOMER ID"))</x:f>
      </x:c>
      <x:c r="E91" s="20"/>
      <x:c r="F91" t="str">
        <x:f>IF(E91="","",IFERROR(VLOOKUP(E91,Products!$A$6:$B$110,2,FALSE),"INVALID SKU"))</x:f>
      </x:c>
      <x:c r="G91" s="20"/>
      <x:c r="H91" s="24" t="str">
        <x:f>IF(E91="","",IFERROR(VLOOKUP(E91,Products!$A$6:$D$110,4,FALSE),""))</x:f>
      </x:c>
      <x:c r="I91" s="25"/>
      <x:c r="J91" s="24" t="str">
        <x:f>IF(OR(G91="",I91=""),"",G91*I91)</x:f>
      </x:c>
      <x:c r="K91" s="20"/>
      <x:c r="L91" s="20"/>
    </x:row>
    <x:row r="92" ht="22" customHeight="1">
      <x:c r="A92" s="20"/>
      <x:c r="B92" s="22"/>
      <x:c r="C92" s="20"/>
      <x:c r="D92" t="str">
        <x:f>IF(C92="","",IFERROR(VLOOKUP(C92,Customers!$A$6:$B$155,2,FALSE),"INVALID CUSTOMER ID"))</x:f>
      </x:c>
      <x:c r="E92" s="20"/>
      <x:c r="F92" t="str">
        <x:f>IF(E92="","",IFERROR(VLOOKUP(E92,Products!$A$6:$B$110,2,FALSE),"INVALID SKU"))</x:f>
      </x:c>
      <x:c r="G92" s="20"/>
      <x:c r="H92" s="24" t="str">
        <x:f>IF(E92="","",IFERROR(VLOOKUP(E92,Products!$A$6:$D$110,4,FALSE),""))</x:f>
      </x:c>
      <x:c r="I92" s="25"/>
      <x:c r="J92" s="24" t="str">
        <x:f>IF(OR(G92="",I92=""),"",G92*I92)</x:f>
      </x:c>
      <x:c r="K92" s="20"/>
      <x:c r="L92" s="20"/>
    </x:row>
    <x:row r="93" ht="22" customHeight="1">
      <x:c r="A93" s="20"/>
      <x:c r="B93" s="22"/>
      <x:c r="C93" s="20"/>
      <x:c r="D93" t="str">
        <x:f>IF(C93="","",IFERROR(VLOOKUP(C93,Customers!$A$6:$B$155,2,FALSE),"INVALID CUSTOMER ID"))</x:f>
      </x:c>
      <x:c r="E93" s="20"/>
      <x:c r="F93" t="str">
        <x:f>IF(E93="","",IFERROR(VLOOKUP(E93,Products!$A$6:$B$110,2,FALSE),"INVALID SKU"))</x:f>
      </x:c>
      <x:c r="G93" s="20"/>
      <x:c r="H93" s="24" t="str">
        <x:f>IF(E93="","",IFERROR(VLOOKUP(E93,Products!$A$6:$D$110,4,FALSE),""))</x:f>
      </x:c>
      <x:c r="I93" s="25"/>
      <x:c r="J93" s="24" t="str">
        <x:f>IF(OR(G93="",I93=""),"",G93*I93)</x:f>
      </x:c>
      <x:c r="K93" s="20"/>
      <x:c r="L93" s="20"/>
    </x:row>
    <x:row r="94" ht="22" customHeight="1">
      <x:c r="A94" s="20"/>
      <x:c r="B94" s="22"/>
      <x:c r="C94" s="20"/>
      <x:c r="D94" t="str">
        <x:f>IF(C94="","",IFERROR(VLOOKUP(C94,Customers!$A$6:$B$155,2,FALSE),"INVALID CUSTOMER ID"))</x:f>
      </x:c>
      <x:c r="E94" s="20"/>
      <x:c r="F94" t="str">
        <x:f>IF(E94="","",IFERROR(VLOOKUP(E94,Products!$A$6:$B$110,2,FALSE),"INVALID SKU"))</x:f>
      </x:c>
      <x:c r="G94" s="20"/>
      <x:c r="H94" s="24" t="str">
        <x:f>IF(E94="","",IFERROR(VLOOKUP(E94,Products!$A$6:$D$110,4,FALSE),""))</x:f>
      </x:c>
      <x:c r="I94" s="25"/>
      <x:c r="J94" s="24" t="str">
        <x:f>IF(OR(G94="",I94=""),"",G94*I94)</x:f>
      </x:c>
      <x:c r="K94" s="20"/>
      <x:c r="L94" s="20"/>
    </x:row>
    <x:row r="95" ht="22" customHeight="1">
      <x:c r="A95" s="20"/>
      <x:c r="B95" s="22"/>
      <x:c r="C95" s="20"/>
      <x:c r="D95" t="str">
        <x:f>IF(C95="","",IFERROR(VLOOKUP(C95,Customers!$A$6:$B$155,2,FALSE),"INVALID CUSTOMER ID"))</x:f>
      </x:c>
      <x:c r="E95" s="20"/>
      <x:c r="F95" t="str">
        <x:f>IF(E95="","",IFERROR(VLOOKUP(E95,Products!$A$6:$B$110,2,FALSE),"INVALID SKU"))</x:f>
      </x:c>
      <x:c r="G95" s="20"/>
      <x:c r="H95" s="24" t="str">
        <x:f>IF(E95="","",IFERROR(VLOOKUP(E95,Products!$A$6:$D$110,4,FALSE),""))</x:f>
      </x:c>
      <x:c r="I95" s="25"/>
      <x:c r="J95" s="24" t="str">
        <x:f>IF(OR(G95="",I95=""),"",G95*I95)</x:f>
      </x:c>
      <x:c r="K95" s="20"/>
      <x:c r="L95" s="20"/>
    </x:row>
    <x:row r="96" ht="22" customHeight="1">
      <x:c r="A96" s="20"/>
      <x:c r="B96" s="22"/>
      <x:c r="C96" s="20"/>
      <x:c r="D96" t="str">
        <x:f>IF(C96="","",IFERROR(VLOOKUP(C96,Customers!$A$6:$B$155,2,FALSE),"INVALID CUSTOMER ID"))</x:f>
      </x:c>
      <x:c r="E96" s="20"/>
      <x:c r="F96" t="str">
        <x:f>IF(E96="","",IFERROR(VLOOKUP(E96,Products!$A$6:$B$110,2,FALSE),"INVALID SKU"))</x:f>
      </x:c>
      <x:c r="G96" s="20"/>
      <x:c r="H96" s="24" t="str">
        <x:f>IF(E96="","",IFERROR(VLOOKUP(E96,Products!$A$6:$D$110,4,FALSE),""))</x:f>
      </x:c>
      <x:c r="I96" s="25"/>
      <x:c r="J96" s="24" t="str">
        <x:f>IF(OR(G96="",I96=""),"",G96*I96)</x:f>
      </x:c>
      <x:c r="K96" s="20"/>
      <x:c r="L96" s="20"/>
    </x:row>
    <x:row r="97" ht="22" customHeight="1">
      <x:c r="A97" s="20"/>
      <x:c r="B97" s="22"/>
      <x:c r="C97" s="20"/>
      <x:c r="D97" t="str">
        <x:f>IF(C97="","",IFERROR(VLOOKUP(C97,Customers!$A$6:$B$155,2,FALSE),"INVALID CUSTOMER ID"))</x:f>
      </x:c>
      <x:c r="E97" s="20"/>
      <x:c r="F97" t="str">
        <x:f>IF(E97="","",IFERROR(VLOOKUP(E97,Products!$A$6:$B$110,2,FALSE),"INVALID SKU"))</x:f>
      </x:c>
      <x:c r="G97" s="20"/>
      <x:c r="H97" s="24" t="str">
        <x:f>IF(E97="","",IFERROR(VLOOKUP(E97,Products!$A$6:$D$110,4,FALSE),""))</x:f>
      </x:c>
      <x:c r="I97" s="25"/>
      <x:c r="J97" s="24" t="str">
        <x:f>IF(OR(G97="",I97=""),"",G97*I97)</x:f>
      </x:c>
      <x:c r="K97" s="20"/>
      <x:c r="L97" s="20"/>
    </x:row>
    <x:row r="98" ht="22" customHeight="1">
      <x:c r="A98" s="20"/>
      <x:c r="B98" s="22"/>
      <x:c r="C98" s="20"/>
      <x:c r="D98" t="str">
        <x:f>IF(C98="","",IFERROR(VLOOKUP(C98,Customers!$A$6:$B$155,2,FALSE),"INVALID CUSTOMER ID"))</x:f>
      </x:c>
      <x:c r="E98" s="20"/>
      <x:c r="F98" t="str">
        <x:f>IF(E98="","",IFERROR(VLOOKUP(E98,Products!$A$6:$B$110,2,FALSE),"INVALID SKU"))</x:f>
      </x:c>
      <x:c r="G98" s="20"/>
      <x:c r="H98" s="24" t="str">
        <x:f>IF(E98="","",IFERROR(VLOOKUP(E98,Products!$A$6:$D$110,4,FALSE),""))</x:f>
      </x:c>
      <x:c r="I98" s="25"/>
      <x:c r="J98" s="24" t="str">
        <x:f>IF(OR(G98="",I98=""),"",G98*I98)</x:f>
      </x:c>
      <x:c r="K98" s="20"/>
      <x:c r="L98" s="20"/>
    </x:row>
    <x:row r="99" ht="22" customHeight="1">
      <x:c r="A99" s="20"/>
      <x:c r="B99" s="22"/>
      <x:c r="C99" s="20"/>
      <x:c r="D99" t="str">
        <x:f>IF(C99="","",IFERROR(VLOOKUP(C99,Customers!$A$6:$B$155,2,FALSE),"INVALID CUSTOMER ID"))</x:f>
      </x:c>
      <x:c r="E99" s="20"/>
      <x:c r="F99" t="str">
        <x:f>IF(E99="","",IFERROR(VLOOKUP(E99,Products!$A$6:$B$110,2,FALSE),"INVALID SKU"))</x:f>
      </x:c>
      <x:c r="G99" s="20"/>
      <x:c r="H99" s="24" t="str">
        <x:f>IF(E99="","",IFERROR(VLOOKUP(E99,Products!$A$6:$D$110,4,FALSE),""))</x:f>
      </x:c>
      <x:c r="I99" s="25"/>
      <x:c r="J99" s="24" t="str">
        <x:f>IF(OR(G99="",I99=""),"",G99*I99)</x:f>
      </x:c>
      <x:c r="K99" s="20"/>
      <x:c r="L99" s="20"/>
    </x:row>
    <x:row r="100" ht="22" customHeight="1">
      <x:c r="A100" s="20"/>
      <x:c r="B100" s="22"/>
      <x:c r="C100" s="20"/>
      <x:c r="D100" t="str">
        <x:f>IF(C100="","",IFERROR(VLOOKUP(C100,Customers!$A$6:$B$155,2,FALSE),"INVALID CUSTOMER ID"))</x:f>
      </x:c>
      <x:c r="E100" s="20"/>
      <x:c r="F100" t="str">
        <x:f>IF(E100="","",IFERROR(VLOOKUP(E100,Products!$A$6:$B$110,2,FALSE),"INVALID SKU"))</x:f>
      </x:c>
      <x:c r="G100" s="20"/>
      <x:c r="H100" s="24" t="str">
        <x:f>IF(E100="","",IFERROR(VLOOKUP(E100,Products!$A$6:$D$110,4,FALSE),""))</x:f>
      </x:c>
      <x:c r="I100" s="25"/>
      <x:c r="J100" s="24" t="str">
        <x:f>IF(OR(G100="",I100=""),"",G100*I100)</x:f>
      </x:c>
      <x:c r="K100" s="20"/>
      <x:c r="L100" s="20"/>
    </x:row>
    <x:row r="101" ht="22" customHeight="1">
      <x:c r="A101" s="20"/>
      <x:c r="B101" s="22"/>
      <x:c r="C101" s="20"/>
      <x:c r="D101" t="str">
        <x:f>IF(C101="","",IFERROR(VLOOKUP(C101,Customers!$A$6:$B$155,2,FALSE),"INVALID CUSTOMER ID"))</x:f>
      </x:c>
      <x:c r="E101" s="20"/>
      <x:c r="F101" t="str">
        <x:f>IF(E101="","",IFERROR(VLOOKUP(E101,Products!$A$6:$B$110,2,FALSE),"INVALID SKU"))</x:f>
      </x:c>
      <x:c r="G101" s="20"/>
      <x:c r="H101" s="24" t="str">
        <x:f>IF(E101="","",IFERROR(VLOOKUP(E101,Products!$A$6:$D$110,4,FALSE),""))</x:f>
      </x:c>
      <x:c r="I101" s="25"/>
      <x:c r="J101" s="24" t="str">
        <x:f>IF(OR(G101="",I101=""),"",G101*I101)</x:f>
      </x:c>
      <x:c r="K101" s="20"/>
      <x:c r="L101" s="20"/>
    </x:row>
    <x:row r="102" ht="22" customHeight="1">
      <x:c r="A102" s="20"/>
      <x:c r="B102" s="22"/>
      <x:c r="C102" s="20"/>
      <x:c r="D102" t="str">
        <x:f>IF(C102="","",IFERROR(VLOOKUP(C102,Customers!$A$6:$B$155,2,FALSE),"INVALID CUSTOMER ID"))</x:f>
      </x:c>
      <x:c r="E102" s="20"/>
      <x:c r="F102" t="str">
        <x:f>IF(E102="","",IFERROR(VLOOKUP(E102,Products!$A$6:$B$110,2,FALSE),"INVALID SKU"))</x:f>
      </x:c>
      <x:c r="G102" s="20"/>
      <x:c r="H102" s="24" t="str">
        <x:f>IF(E102="","",IFERROR(VLOOKUP(E102,Products!$A$6:$D$110,4,FALSE),""))</x:f>
      </x:c>
      <x:c r="I102" s="25"/>
      <x:c r="J102" s="24" t="str">
        <x:f>IF(OR(G102="",I102=""),"",G102*I102)</x:f>
      </x:c>
      <x:c r="K102" s="20"/>
      <x:c r="L102" s="20"/>
    </x:row>
    <x:row r="103" ht="22" customHeight="1">
      <x:c r="A103" s="20"/>
      <x:c r="B103" s="22"/>
      <x:c r="C103" s="20"/>
      <x:c r="D103" t="str">
        <x:f>IF(C103="","",IFERROR(VLOOKUP(C103,Customers!$A$6:$B$155,2,FALSE),"INVALID CUSTOMER ID"))</x:f>
      </x:c>
      <x:c r="E103" s="20"/>
      <x:c r="F103" t="str">
        <x:f>IF(E103="","",IFERROR(VLOOKUP(E103,Products!$A$6:$B$110,2,FALSE),"INVALID SKU"))</x:f>
      </x:c>
      <x:c r="G103" s="20"/>
      <x:c r="H103" s="24" t="str">
        <x:f>IF(E103="","",IFERROR(VLOOKUP(E103,Products!$A$6:$D$110,4,FALSE),""))</x:f>
      </x:c>
      <x:c r="I103" s="25"/>
      <x:c r="J103" s="24" t="str">
        <x:f>IF(OR(G103="",I103=""),"",G103*I103)</x:f>
      </x:c>
      <x:c r="K103" s="20"/>
      <x:c r="L103" s="20"/>
    </x:row>
    <x:row r="104" ht="22" customHeight="1">
      <x:c r="A104" s="20"/>
      <x:c r="B104" s="22"/>
      <x:c r="C104" s="20"/>
      <x:c r="D104" t="str">
        <x:f>IF(C104="","",IFERROR(VLOOKUP(C104,Customers!$A$6:$B$155,2,FALSE),"INVALID CUSTOMER ID"))</x:f>
      </x:c>
      <x:c r="E104" s="20"/>
      <x:c r="F104" t="str">
        <x:f>IF(E104="","",IFERROR(VLOOKUP(E104,Products!$A$6:$B$110,2,FALSE),"INVALID SKU"))</x:f>
      </x:c>
      <x:c r="G104" s="20"/>
      <x:c r="H104" s="24" t="str">
        <x:f>IF(E104="","",IFERROR(VLOOKUP(E104,Products!$A$6:$D$110,4,FALSE),""))</x:f>
      </x:c>
      <x:c r="I104" s="25"/>
      <x:c r="J104" s="24" t="str">
        <x:f>IF(OR(G104="",I104=""),"",G104*I104)</x:f>
      </x:c>
      <x:c r="K104" s="20"/>
      <x:c r="L104" s="20"/>
    </x:row>
    <x:row r="105" ht="22" customHeight="1">
      <x:c r="A105" s="20"/>
      <x:c r="B105" s="22"/>
      <x:c r="C105" s="20"/>
      <x:c r="D105" t="str">
        <x:f>IF(C105="","",IFERROR(VLOOKUP(C105,Customers!$A$6:$B$155,2,FALSE),"INVALID CUSTOMER ID"))</x:f>
      </x:c>
      <x:c r="E105" s="20"/>
      <x:c r="F105" t="str">
        <x:f>IF(E105="","",IFERROR(VLOOKUP(E105,Products!$A$6:$B$110,2,FALSE),"INVALID SKU"))</x:f>
      </x:c>
      <x:c r="G105" s="20"/>
      <x:c r="H105" s="24" t="str">
        <x:f>IF(E105="","",IFERROR(VLOOKUP(E105,Products!$A$6:$D$110,4,FALSE),""))</x:f>
      </x:c>
      <x:c r="I105" s="25"/>
      <x:c r="J105" s="24" t="str">
        <x:f>IF(OR(G105="",I105=""),"",G105*I105)</x:f>
      </x:c>
      <x:c r="K105" s="20"/>
      <x:c r="L105" s="20"/>
    </x:row>
    <x:row r="106" ht="22" customHeight="1">
      <x:c r="A106" s="20"/>
      <x:c r="B106" s="22"/>
      <x:c r="C106" s="20"/>
      <x:c r="D106" t="str">
        <x:f>IF(C106="","",IFERROR(VLOOKUP(C106,Customers!$A$6:$B$155,2,FALSE),"INVALID CUSTOMER ID"))</x:f>
      </x:c>
      <x:c r="E106" s="20"/>
      <x:c r="F106" t="str">
        <x:f>IF(E106="","",IFERROR(VLOOKUP(E106,Products!$A$6:$B$110,2,FALSE),"INVALID SKU"))</x:f>
      </x:c>
      <x:c r="G106" s="20"/>
      <x:c r="H106" s="24" t="str">
        <x:f>IF(E106="","",IFERROR(VLOOKUP(E106,Products!$A$6:$D$110,4,FALSE),""))</x:f>
      </x:c>
      <x:c r="I106" s="25"/>
      <x:c r="J106" s="24" t="str">
        <x:f>IF(OR(G106="",I106=""),"",G106*I106)</x:f>
      </x:c>
      <x:c r="K106" s="20"/>
      <x:c r="L106" s="20"/>
    </x:row>
    <x:row r="107" ht="22" customHeight="1">
      <x:c r="A107" s="20"/>
      <x:c r="B107" s="22"/>
      <x:c r="C107" s="20"/>
      <x:c r="D107" t="str">
        <x:f>IF(C107="","",IFERROR(VLOOKUP(C107,Customers!$A$6:$B$155,2,FALSE),"INVALID CUSTOMER ID"))</x:f>
      </x:c>
      <x:c r="E107" s="20"/>
      <x:c r="F107" t="str">
        <x:f>IF(E107="","",IFERROR(VLOOKUP(E107,Products!$A$6:$B$110,2,FALSE),"INVALID SKU"))</x:f>
      </x:c>
      <x:c r="G107" s="20"/>
      <x:c r="H107" s="24" t="str">
        <x:f>IF(E107="","",IFERROR(VLOOKUP(E107,Products!$A$6:$D$110,4,FALSE),""))</x:f>
      </x:c>
      <x:c r="I107" s="25"/>
      <x:c r="J107" s="24" t="str">
        <x:f>IF(OR(G107="",I107=""),"",G107*I107)</x:f>
      </x:c>
      <x:c r="K107" s="20"/>
      <x:c r="L107" s="20"/>
    </x:row>
    <x:row r="108" ht="22" customHeight="1">
      <x:c r="A108" s="20"/>
      <x:c r="B108" s="22"/>
      <x:c r="C108" s="20"/>
      <x:c r="D108" t="str">
        <x:f>IF(C108="","",IFERROR(VLOOKUP(C108,Customers!$A$6:$B$155,2,FALSE),"INVALID CUSTOMER ID"))</x:f>
      </x:c>
      <x:c r="E108" s="20"/>
      <x:c r="F108" t="str">
        <x:f>IF(E108="","",IFERROR(VLOOKUP(E108,Products!$A$6:$B$110,2,FALSE),"INVALID SKU"))</x:f>
      </x:c>
      <x:c r="G108" s="20"/>
      <x:c r="H108" s="24" t="str">
        <x:f>IF(E108="","",IFERROR(VLOOKUP(E108,Products!$A$6:$D$110,4,FALSE),""))</x:f>
      </x:c>
      <x:c r="I108" s="25"/>
      <x:c r="J108" s="24" t="str">
        <x:f>IF(OR(G108="",I108=""),"",G108*I108)</x:f>
      </x:c>
      <x:c r="K108" s="20"/>
      <x:c r="L108" s="20"/>
    </x:row>
    <x:row r="109" ht="22" customHeight="1">
      <x:c r="A109" s="20"/>
      <x:c r="B109" s="22"/>
      <x:c r="C109" s="20"/>
      <x:c r="D109" t="str">
        <x:f>IF(C109="","",IFERROR(VLOOKUP(C109,Customers!$A$6:$B$155,2,FALSE),"INVALID CUSTOMER ID"))</x:f>
      </x:c>
      <x:c r="E109" s="20"/>
      <x:c r="F109" t="str">
        <x:f>IF(E109="","",IFERROR(VLOOKUP(E109,Products!$A$6:$B$110,2,FALSE),"INVALID SKU"))</x:f>
      </x:c>
      <x:c r="G109" s="20"/>
      <x:c r="H109" s="24" t="str">
        <x:f>IF(E109="","",IFERROR(VLOOKUP(E109,Products!$A$6:$D$110,4,FALSE),""))</x:f>
      </x:c>
      <x:c r="I109" s="25"/>
      <x:c r="J109" s="24" t="str">
        <x:f>IF(OR(G109="",I109=""),"",G109*I109)</x:f>
      </x:c>
      <x:c r="K109" s="20"/>
      <x:c r="L109" s="20"/>
    </x:row>
    <x:row r="110" ht="22" customHeight="1">
      <x:c r="A110" s="20"/>
      <x:c r="B110" s="22"/>
      <x:c r="C110" s="20"/>
      <x:c r="D110" t="str">
        <x:f>IF(C110="","",IFERROR(VLOOKUP(C110,Customers!$A$6:$B$155,2,FALSE),"INVALID CUSTOMER ID"))</x:f>
      </x:c>
      <x:c r="E110" s="20"/>
      <x:c r="F110" t="str">
        <x:f>IF(E110="","",IFERROR(VLOOKUP(E110,Products!$A$6:$B$110,2,FALSE),"INVALID SKU"))</x:f>
      </x:c>
      <x:c r="G110" s="20"/>
      <x:c r="H110" s="24" t="str">
        <x:f>IF(E110="","",IFERROR(VLOOKUP(E110,Products!$A$6:$D$110,4,FALSE),""))</x:f>
      </x:c>
      <x:c r="I110" s="25"/>
      <x:c r="J110" s="24" t="str">
        <x:f>IF(OR(G110="",I110=""),"",G110*I110)</x:f>
      </x:c>
      <x:c r="K110" s="20"/>
      <x:c r="L110" s="20"/>
    </x:row>
    <x:row r="111" ht="22" customHeight="1">
      <x:c r="A111" s="20"/>
      <x:c r="B111" s="22"/>
      <x:c r="C111" s="20"/>
      <x:c r="D111" t="str">
        <x:f>IF(C111="","",IFERROR(VLOOKUP(C111,Customers!$A$6:$B$155,2,FALSE),"INVALID CUSTOMER ID"))</x:f>
      </x:c>
      <x:c r="E111" s="20"/>
      <x:c r="F111" t="str">
        <x:f>IF(E111="","",IFERROR(VLOOKUP(E111,Products!$A$6:$B$110,2,FALSE),"INVALID SKU"))</x:f>
      </x:c>
      <x:c r="G111" s="20"/>
      <x:c r="H111" s="24" t="str">
        <x:f>IF(E111="","",IFERROR(VLOOKUP(E111,Products!$A$6:$D$110,4,FALSE),""))</x:f>
      </x:c>
      <x:c r="I111" s="25"/>
      <x:c r="J111" s="24" t="str">
        <x:f>IF(OR(G111="",I111=""),"",G111*I111)</x:f>
      </x:c>
      <x:c r="K111" s="20"/>
      <x:c r="L111" s="20"/>
    </x:row>
    <x:row r="112" ht="22" customHeight="1">
      <x:c r="A112" s="20"/>
      <x:c r="B112" s="22"/>
      <x:c r="C112" s="20"/>
      <x:c r="D112" t="str">
        <x:f>IF(C112="","",IFERROR(VLOOKUP(C112,Customers!$A$6:$B$155,2,FALSE),"INVALID CUSTOMER ID"))</x:f>
      </x:c>
      <x:c r="E112" s="20"/>
      <x:c r="F112" t="str">
        <x:f>IF(E112="","",IFERROR(VLOOKUP(E112,Products!$A$6:$B$110,2,FALSE),"INVALID SKU"))</x:f>
      </x:c>
      <x:c r="G112" s="20"/>
      <x:c r="H112" s="24" t="str">
        <x:f>IF(E112="","",IFERROR(VLOOKUP(E112,Products!$A$6:$D$110,4,FALSE),""))</x:f>
      </x:c>
      <x:c r="I112" s="25"/>
      <x:c r="J112" s="24" t="str">
        <x:f>IF(OR(G112="",I112=""),"",G112*I112)</x:f>
      </x:c>
      <x:c r="K112" s="20"/>
      <x:c r="L112" s="20"/>
    </x:row>
    <x:row r="113" ht="22" customHeight="1">
      <x:c r="A113" s="20"/>
      <x:c r="B113" s="22"/>
      <x:c r="C113" s="20"/>
      <x:c r="D113" t="str">
        <x:f>IF(C113="","",IFERROR(VLOOKUP(C113,Customers!$A$6:$B$155,2,FALSE),"INVALID CUSTOMER ID"))</x:f>
      </x:c>
      <x:c r="E113" s="20"/>
      <x:c r="F113" t="str">
        <x:f>IF(E113="","",IFERROR(VLOOKUP(E113,Products!$A$6:$B$110,2,FALSE),"INVALID SKU"))</x:f>
      </x:c>
      <x:c r="G113" s="20"/>
      <x:c r="H113" s="24" t="str">
        <x:f>IF(E113="","",IFERROR(VLOOKUP(E113,Products!$A$6:$D$110,4,FALSE),""))</x:f>
      </x:c>
      <x:c r="I113" s="25"/>
      <x:c r="J113" s="24" t="str">
        <x:f>IF(OR(G113="",I113=""),"",G113*I113)</x:f>
      </x:c>
      <x:c r="K113" s="20"/>
      <x:c r="L113" s="20"/>
    </x:row>
    <x:row r="114" ht="22" customHeight="1">
      <x:c r="A114" s="20"/>
      <x:c r="B114" s="22"/>
      <x:c r="C114" s="20"/>
      <x:c r="D114" t="str">
        <x:f>IF(C114="","",IFERROR(VLOOKUP(C114,Customers!$A$6:$B$155,2,FALSE),"INVALID CUSTOMER ID"))</x:f>
      </x:c>
      <x:c r="E114" s="20"/>
      <x:c r="F114" t="str">
        <x:f>IF(E114="","",IFERROR(VLOOKUP(E114,Products!$A$6:$B$110,2,FALSE),"INVALID SKU"))</x:f>
      </x:c>
      <x:c r="G114" s="20"/>
      <x:c r="H114" s="24" t="str">
        <x:f>IF(E114="","",IFERROR(VLOOKUP(E114,Products!$A$6:$D$110,4,FALSE),""))</x:f>
      </x:c>
      <x:c r="I114" s="25"/>
      <x:c r="J114" s="24" t="str">
        <x:f>IF(OR(G114="",I114=""),"",G114*I114)</x:f>
      </x:c>
      <x:c r="K114" s="20"/>
      <x:c r="L114" s="20"/>
    </x:row>
    <x:row r="115" ht="22" customHeight="1">
      <x:c r="A115" s="20"/>
      <x:c r="B115" s="22"/>
      <x:c r="C115" s="20"/>
      <x:c r="D115" t="str">
        <x:f>IF(C115="","",IFERROR(VLOOKUP(C115,Customers!$A$6:$B$155,2,FALSE),"INVALID CUSTOMER ID"))</x:f>
      </x:c>
      <x:c r="E115" s="20"/>
      <x:c r="F115" t="str">
        <x:f>IF(E115="","",IFERROR(VLOOKUP(E115,Products!$A$6:$B$110,2,FALSE),"INVALID SKU"))</x:f>
      </x:c>
      <x:c r="G115" s="20"/>
      <x:c r="H115" s="24" t="str">
        <x:f>IF(E115="","",IFERROR(VLOOKUP(E115,Products!$A$6:$D$110,4,FALSE),""))</x:f>
      </x:c>
      <x:c r="I115" s="25"/>
      <x:c r="J115" s="24" t="str">
        <x:f>IF(OR(G115="",I115=""),"",G115*I115)</x:f>
      </x:c>
      <x:c r="K115" s="20"/>
      <x:c r="L115" s="20"/>
    </x:row>
    <x:row r="116" ht="22" customHeight="1">
      <x:c r="A116" s="20"/>
      <x:c r="B116" s="22"/>
      <x:c r="C116" s="20"/>
      <x:c r="D116" t="str">
        <x:f>IF(C116="","",IFERROR(VLOOKUP(C116,Customers!$A$6:$B$155,2,FALSE),"INVALID CUSTOMER ID"))</x:f>
      </x:c>
      <x:c r="E116" s="20"/>
      <x:c r="F116" t="str">
        <x:f>IF(E116="","",IFERROR(VLOOKUP(E116,Products!$A$6:$B$110,2,FALSE),"INVALID SKU"))</x:f>
      </x:c>
      <x:c r="G116" s="20"/>
      <x:c r="H116" s="24" t="str">
        <x:f>IF(E116="","",IFERROR(VLOOKUP(E116,Products!$A$6:$D$110,4,FALSE),""))</x:f>
      </x:c>
      <x:c r="I116" s="25"/>
      <x:c r="J116" s="24" t="str">
        <x:f>IF(OR(G116="",I116=""),"",G116*I116)</x:f>
      </x:c>
      <x:c r="K116" s="20"/>
      <x:c r="L116" s="20"/>
    </x:row>
    <x:row r="117" ht="22" customHeight="1">
      <x:c r="A117" s="20"/>
      <x:c r="B117" s="22"/>
      <x:c r="C117" s="20"/>
      <x:c r="D117" t="str">
        <x:f>IF(C117="","",IFERROR(VLOOKUP(C117,Customers!$A$6:$B$155,2,FALSE),"INVALID CUSTOMER ID"))</x:f>
      </x:c>
      <x:c r="E117" s="20"/>
      <x:c r="F117" t="str">
        <x:f>IF(E117="","",IFERROR(VLOOKUP(E117,Products!$A$6:$B$110,2,FALSE),"INVALID SKU"))</x:f>
      </x:c>
      <x:c r="G117" s="20"/>
      <x:c r="H117" s="24" t="str">
        <x:f>IF(E117="","",IFERROR(VLOOKUP(E117,Products!$A$6:$D$110,4,FALSE),""))</x:f>
      </x:c>
      <x:c r="I117" s="25"/>
      <x:c r="J117" s="24" t="str">
        <x:f>IF(OR(G117="",I117=""),"",G117*I117)</x:f>
      </x:c>
      <x:c r="K117" s="20"/>
      <x:c r="L117" s="20"/>
    </x:row>
    <x:row r="118" ht="22" customHeight="1">
      <x:c r="A118" s="20"/>
      <x:c r="B118" s="22"/>
      <x:c r="C118" s="20"/>
      <x:c r="D118" t="str">
        <x:f>IF(C118="","",IFERROR(VLOOKUP(C118,Customers!$A$6:$B$155,2,FALSE),"INVALID CUSTOMER ID"))</x:f>
      </x:c>
      <x:c r="E118" s="20"/>
      <x:c r="F118" t="str">
        <x:f>IF(E118="","",IFERROR(VLOOKUP(E118,Products!$A$6:$B$110,2,FALSE),"INVALID SKU"))</x:f>
      </x:c>
      <x:c r="G118" s="20"/>
      <x:c r="H118" s="24" t="str">
        <x:f>IF(E118="","",IFERROR(VLOOKUP(E118,Products!$A$6:$D$110,4,FALSE),""))</x:f>
      </x:c>
      <x:c r="I118" s="25"/>
      <x:c r="J118" s="24" t="str">
        <x:f>IF(OR(G118="",I118=""),"",G118*I118)</x:f>
      </x:c>
      <x:c r="K118" s="20"/>
      <x:c r="L118" s="20"/>
    </x:row>
    <x:row r="119" ht="22" customHeight="1">
      <x:c r="A119" s="20"/>
      <x:c r="B119" s="22"/>
      <x:c r="C119" s="20"/>
      <x:c r="D119" t="str">
        <x:f>IF(C119="","",IFERROR(VLOOKUP(C119,Customers!$A$6:$B$155,2,FALSE),"INVALID CUSTOMER ID"))</x:f>
      </x:c>
      <x:c r="E119" s="20"/>
      <x:c r="F119" t="str">
        <x:f>IF(E119="","",IFERROR(VLOOKUP(E119,Products!$A$6:$B$110,2,FALSE),"INVALID SKU"))</x:f>
      </x:c>
      <x:c r="G119" s="20"/>
      <x:c r="H119" s="24" t="str">
        <x:f>IF(E119="","",IFERROR(VLOOKUP(E119,Products!$A$6:$D$110,4,FALSE),""))</x:f>
      </x:c>
      <x:c r="I119" s="25"/>
      <x:c r="J119" s="24" t="str">
        <x:f>IF(OR(G119="",I119=""),"",G119*I119)</x:f>
      </x:c>
      <x:c r="K119" s="20"/>
      <x:c r="L119" s="20"/>
    </x:row>
    <x:row r="120" ht="22" customHeight="1">
      <x:c r="A120" s="20"/>
      <x:c r="B120" s="22"/>
      <x:c r="C120" s="20"/>
      <x:c r="D120" t="str">
        <x:f>IF(C120="","",IFERROR(VLOOKUP(C120,Customers!$A$6:$B$155,2,FALSE),"INVALID CUSTOMER ID"))</x:f>
      </x:c>
      <x:c r="E120" s="20"/>
      <x:c r="F120" t="str">
        <x:f>IF(E120="","",IFERROR(VLOOKUP(E120,Products!$A$6:$B$110,2,FALSE),"INVALID SKU"))</x:f>
      </x:c>
      <x:c r="G120" s="20"/>
      <x:c r="H120" s="24" t="str">
        <x:f>IF(E120="","",IFERROR(VLOOKUP(E120,Products!$A$6:$D$110,4,FALSE),""))</x:f>
      </x:c>
      <x:c r="I120" s="25"/>
      <x:c r="J120" s="24" t="str">
        <x:f>IF(OR(G120="",I120=""),"",G120*I120)</x:f>
      </x:c>
      <x:c r="K120" s="20"/>
      <x:c r="L120" s="20"/>
    </x:row>
    <x:row r="121" ht="22" customHeight="1">
      <x:c r="A121" s="20"/>
      <x:c r="B121" s="22"/>
      <x:c r="C121" s="20"/>
      <x:c r="D121" t="str">
        <x:f>IF(C121="","",IFERROR(VLOOKUP(C121,Customers!$A$6:$B$155,2,FALSE),"INVALID CUSTOMER ID"))</x:f>
      </x:c>
      <x:c r="E121" s="20"/>
      <x:c r="F121" t="str">
        <x:f>IF(E121="","",IFERROR(VLOOKUP(E121,Products!$A$6:$B$110,2,FALSE),"INVALID SKU"))</x:f>
      </x:c>
      <x:c r="G121" s="20"/>
      <x:c r="H121" s="24" t="str">
        <x:f>IF(E121="","",IFERROR(VLOOKUP(E121,Products!$A$6:$D$110,4,FALSE),""))</x:f>
      </x:c>
      <x:c r="I121" s="25"/>
      <x:c r="J121" s="24" t="str">
        <x:f>IF(OR(G121="",I121=""),"",G121*I121)</x:f>
      </x:c>
      <x:c r="K121" s="20"/>
      <x:c r="L121" s="20"/>
    </x:row>
    <x:row r="122" ht="22" customHeight="1">
      <x:c r="A122" s="20"/>
      <x:c r="B122" s="22"/>
      <x:c r="C122" s="20"/>
      <x:c r="D122" t="str">
        <x:f>IF(C122="","",IFERROR(VLOOKUP(C122,Customers!$A$6:$B$155,2,FALSE),"INVALID CUSTOMER ID"))</x:f>
      </x:c>
      <x:c r="E122" s="20"/>
      <x:c r="F122" t="str">
        <x:f>IF(E122="","",IFERROR(VLOOKUP(E122,Products!$A$6:$B$110,2,FALSE),"INVALID SKU"))</x:f>
      </x:c>
      <x:c r="G122" s="20"/>
      <x:c r="H122" s="24" t="str">
        <x:f>IF(E122="","",IFERROR(VLOOKUP(E122,Products!$A$6:$D$110,4,FALSE),""))</x:f>
      </x:c>
      <x:c r="I122" s="25"/>
      <x:c r="J122" s="24" t="str">
        <x:f>IF(OR(G122="",I122=""),"",G122*I122)</x:f>
      </x:c>
      <x:c r="K122" s="20"/>
      <x:c r="L122" s="20"/>
    </x:row>
    <x:row r="123" ht="22" customHeight="1">
      <x:c r="A123" s="20"/>
      <x:c r="B123" s="22"/>
      <x:c r="C123" s="20"/>
      <x:c r="D123" t="str">
        <x:f>IF(C123="","",IFERROR(VLOOKUP(C123,Customers!$A$6:$B$155,2,FALSE),"INVALID CUSTOMER ID"))</x:f>
      </x:c>
      <x:c r="E123" s="20"/>
      <x:c r="F123" t="str">
        <x:f>IF(E123="","",IFERROR(VLOOKUP(E123,Products!$A$6:$B$110,2,FALSE),"INVALID SKU"))</x:f>
      </x:c>
      <x:c r="G123" s="20"/>
      <x:c r="H123" s="24" t="str">
        <x:f>IF(E123="","",IFERROR(VLOOKUP(E123,Products!$A$6:$D$110,4,FALSE),""))</x:f>
      </x:c>
      <x:c r="I123" s="25"/>
      <x:c r="J123" s="24" t="str">
        <x:f>IF(OR(G123="",I123=""),"",G123*I123)</x:f>
      </x:c>
      <x:c r="K123" s="20"/>
      <x:c r="L123" s="20"/>
    </x:row>
    <x:row r="124" ht="22" customHeight="1">
      <x:c r="A124" s="20"/>
      <x:c r="B124" s="22"/>
      <x:c r="C124" s="20"/>
      <x:c r="D124" t="str">
        <x:f>IF(C124="","",IFERROR(VLOOKUP(C124,Customers!$A$6:$B$155,2,FALSE),"INVALID CUSTOMER ID"))</x:f>
      </x:c>
      <x:c r="E124" s="20"/>
      <x:c r="F124" t="str">
        <x:f>IF(E124="","",IFERROR(VLOOKUP(E124,Products!$A$6:$B$110,2,FALSE),"INVALID SKU"))</x:f>
      </x:c>
      <x:c r="G124" s="20"/>
      <x:c r="H124" s="24" t="str">
        <x:f>IF(E124="","",IFERROR(VLOOKUP(E124,Products!$A$6:$D$110,4,FALSE),""))</x:f>
      </x:c>
      <x:c r="I124" s="25"/>
      <x:c r="J124" s="24" t="str">
        <x:f>IF(OR(G124="",I124=""),"",G124*I124)</x:f>
      </x:c>
      <x:c r="K124" s="20"/>
      <x:c r="L124" s="20"/>
    </x:row>
    <x:row r="125" ht="22" customHeight="1">
      <x:c r="A125" s="20"/>
      <x:c r="B125" s="22"/>
      <x:c r="C125" s="20"/>
      <x:c r="D125" t="str">
        <x:f>IF(C125="","",IFERROR(VLOOKUP(C125,Customers!$A$6:$B$155,2,FALSE),"INVALID CUSTOMER ID"))</x:f>
      </x:c>
      <x:c r="E125" s="20"/>
      <x:c r="F125" t="str">
        <x:f>IF(E125="","",IFERROR(VLOOKUP(E125,Products!$A$6:$B$110,2,FALSE),"INVALID SKU"))</x:f>
      </x:c>
      <x:c r="G125" s="20"/>
      <x:c r="H125" s="24" t="str">
        <x:f>IF(E125="","",IFERROR(VLOOKUP(E125,Products!$A$6:$D$110,4,FALSE),""))</x:f>
      </x:c>
      <x:c r="I125" s="25"/>
      <x:c r="J125" s="24" t="str">
        <x:f>IF(OR(G125="",I125=""),"",G125*I125)</x:f>
      </x:c>
      <x:c r="K125" s="20"/>
      <x:c r="L125" s="20"/>
    </x:row>
    <x:row r="126" ht="22" customHeight="1">
      <x:c r="A126" s="20"/>
      <x:c r="B126" s="22"/>
      <x:c r="C126" s="20"/>
      <x:c r="D126" t="str">
        <x:f>IF(C126="","",IFERROR(VLOOKUP(C126,Customers!$A$6:$B$155,2,FALSE),"INVALID CUSTOMER ID"))</x:f>
      </x:c>
      <x:c r="E126" s="20"/>
      <x:c r="F126" t="str">
        <x:f>IF(E126="","",IFERROR(VLOOKUP(E126,Products!$A$6:$B$110,2,FALSE),"INVALID SKU"))</x:f>
      </x:c>
      <x:c r="G126" s="20"/>
      <x:c r="H126" s="24" t="str">
        <x:f>IF(E126="","",IFERROR(VLOOKUP(E126,Products!$A$6:$D$110,4,FALSE),""))</x:f>
      </x:c>
      <x:c r="I126" s="25"/>
      <x:c r="J126" s="24" t="str">
        <x:f>IF(OR(G126="",I126=""),"",G126*I126)</x:f>
      </x:c>
      <x:c r="K126" s="20"/>
      <x:c r="L126" s="20"/>
    </x:row>
    <x:row r="127" ht="22" customHeight="1">
      <x:c r="A127" s="20"/>
      <x:c r="B127" s="22"/>
      <x:c r="C127" s="20"/>
      <x:c r="D127" t="str">
        <x:f>IF(C127="","",IFERROR(VLOOKUP(C127,Customers!$A$6:$B$155,2,FALSE),"INVALID CUSTOMER ID"))</x:f>
      </x:c>
      <x:c r="E127" s="20"/>
      <x:c r="F127" t="str">
        <x:f>IF(E127="","",IFERROR(VLOOKUP(E127,Products!$A$6:$B$110,2,FALSE),"INVALID SKU"))</x:f>
      </x:c>
      <x:c r="G127" s="20"/>
      <x:c r="H127" s="24" t="str">
        <x:f>IF(E127="","",IFERROR(VLOOKUP(E127,Products!$A$6:$D$110,4,FALSE),""))</x:f>
      </x:c>
      <x:c r="I127" s="25"/>
      <x:c r="J127" s="24" t="str">
        <x:f>IF(OR(G127="",I127=""),"",G127*I127)</x:f>
      </x:c>
      <x:c r="K127" s="20"/>
      <x:c r="L127" s="20"/>
    </x:row>
    <x:row r="128" ht="22" customHeight="1">
      <x:c r="A128" s="20"/>
      <x:c r="B128" s="22"/>
      <x:c r="C128" s="20"/>
      <x:c r="D128" t="str">
        <x:f>IF(C128="","",IFERROR(VLOOKUP(C128,Customers!$A$6:$B$155,2,FALSE),"INVALID CUSTOMER ID"))</x:f>
      </x:c>
      <x:c r="E128" s="20"/>
      <x:c r="F128" t="str">
        <x:f>IF(E128="","",IFERROR(VLOOKUP(E128,Products!$A$6:$B$110,2,FALSE),"INVALID SKU"))</x:f>
      </x:c>
      <x:c r="G128" s="20"/>
      <x:c r="H128" s="24" t="str">
        <x:f>IF(E128="","",IFERROR(VLOOKUP(E128,Products!$A$6:$D$110,4,FALSE),""))</x:f>
      </x:c>
      <x:c r="I128" s="25"/>
      <x:c r="J128" s="24" t="str">
        <x:f>IF(OR(G128="",I128=""),"",G128*I128)</x:f>
      </x:c>
      <x:c r="K128" s="20"/>
      <x:c r="L128" s="20"/>
    </x:row>
    <x:row r="129" ht="22" customHeight="1">
      <x:c r="A129" s="20"/>
      <x:c r="B129" s="22"/>
      <x:c r="C129" s="20"/>
      <x:c r="D129" t="str">
        <x:f>IF(C129="","",IFERROR(VLOOKUP(C129,Customers!$A$6:$B$155,2,FALSE),"INVALID CUSTOMER ID"))</x:f>
      </x:c>
      <x:c r="E129" s="20"/>
      <x:c r="F129" t="str">
        <x:f>IF(E129="","",IFERROR(VLOOKUP(E129,Products!$A$6:$B$110,2,FALSE),"INVALID SKU"))</x:f>
      </x:c>
      <x:c r="G129" s="20"/>
      <x:c r="H129" s="24" t="str">
        <x:f>IF(E129="","",IFERROR(VLOOKUP(E129,Products!$A$6:$D$110,4,FALSE),""))</x:f>
      </x:c>
      <x:c r="I129" s="25"/>
      <x:c r="J129" s="24" t="str">
        <x:f>IF(OR(G129="",I129=""),"",G129*I129)</x:f>
      </x:c>
      <x:c r="K129" s="20"/>
      <x:c r="L129" s="20"/>
    </x:row>
    <x:row r="130" ht="22" customHeight="1">
      <x:c r="A130" s="20"/>
      <x:c r="B130" s="22"/>
      <x:c r="C130" s="20"/>
      <x:c r="D130" t="str">
        <x:f>IF(C130="","",IFERROR(VLOOKUP(C130,Customers!$A$6:$B$155,2,FALSE),"INVALID CUSTOMER ID"))</x:f>
      </x:c>
      <x:c r="E130" s="20"/>
      <x:c r="F130" t="str">
        <x:f>IF(E130="","",IFERROR(VLOOKUP(E130,Products!$A$6:$B$110,2,FALSE),"INVALID SKU"))</x:f>
      </x:c>
      <x:c r="G130" s="20"/>
      <x:c r="H130" s="24" t="str">
        <x:f>IF(E130="","",IFERROR(VLOOKUP(E130,Products!$A$6:$D$110,4,FALSE),""))</x:f>
      </x:c>
      <x:c r="I130" s="25"/>
      <x:c r="J130" s="24" t="str">
        <x:f>IF(OR(G130="",I130=""),"",G130*I130)</x:f>
      </x:c>
      <x:c r="K130" s="20"/>
      <x:c r="L130" s="20"/>
    </x:row>
    <x:row r="131" ht="22" customHeight="1">
      <x:c r="A131" s="20"/>
      <x:c r="B131" s="22"/>
      <x:c r="C131" s="20"/>
      <x:c r="D131" t="str">
        <x:f>IF(C131="","",IFERROR(VLOOKUP(C131,Customers!$A$6:$B$155,2,FALSE),"INVALID CUSTOMER ID"))</x:f>
      </x:c>
      <x:c r="E131" s="20"/>
      <x:c r="F131" t="str">
        <x:f>IF(E131="","",IFERROR(VLOOKUP(E131,Products!$A$6:$B$110,2,FALSE),"INVALID SKU"))</x:f>
      </x:c>
      <x:c r="G131" s="20"/>
      <x:c r="H131" s="24" t="str">
        <x:f>IF(E131="","",IFERROR(VLOOKUP(E131,Products!$A$6:$D$110,4,FALSE),""))</x:f>
      </x:c>
      <x:c r="I131" s="25"/>
      <x:c r="J131" s="24" t="str">
        <x:f>IF(OR(G131="",I131=""),"",G131*I131)</x:f>
      </x:c>
      <x:c r="K131" s="20"/>
      <x:c r="L131" s="20"/>
    </x:row>
    <x:row r="132" ht="22" customHeight="1">
      <x:c r="A132" s="20"/>
      <x:c r="B132" s="22"/>
      <x:c r="C132" s="20"/>
      <x:c r="D132" t="str">
        <x:f>IF(C132="","",IFERROR(VLOOKUP(C132,Customers!$A$6:$B$155,2,FALSE),"INVALID CUSTOMER ID"))</x:f>
      </x:c>
      <x:c r="E132" s="20"/>
      <x:c r="F132" t="str">
        <x:f>IF(E132="","",IFERROR(VLOOKUP(E132,Products!$A$6:$B$110,2,FALSE),"INVALID SKU"))</x:f>
      </x:c>
      <x:c r="G132" s="20"/>
      <x:c r="H132" s="24" t="str">
        <x:f>IF(E132="","",IFERROR(VLOOKUP(E132,Products!$A$6:$D$110,4,FALSE),""))</x:f>
      </x:c>
      <x:c r="I132" s="25"/>
      <x:c r="J132" s="24" t="str">
        <x:f>IF(OR(G132="",I132=""),"",G132*I132)</x:f>
      </x:c>
      <x:c r="K132" s="20"/>
      <x:c r="L132" s="20"/>
    </x:row>
    <x:row r="133" ht="22" customHeight="1">
      <x:c r="A133" s="20"/>
      <x:c r="B133" s="22"/>
      <x:c r="C133" s="20"/>
      <x:c r="D133" t="str">
        <x:f>IF(C133="","",IFERROR(VLOOKUP(C133,Customers!$A$6:$B$155,2,FALSE),"INVALID CUSTOMER ID"))</x:f>
      </x:c>
      <x:c r="E133" s="20"/>
      <x:c r="F133" t="str">
        <x:f>IF(E133="","",IFERROR(VLOOKUP(E133,Products!$A$6:$B$110,2,FALSE),"INVALID SKU"))</x:f>
      </x:c>
      <x:c r="G133" s="20"/>
      <x:c r="H133" s="24" t="str">
        <x:f>IF(E133="","",IFERROR(VLOOKUP(E133,Products!$A$6:$D$110,4,FALSE),""))</x:f>
      </x:c>
      <x:c r="I133" s="25"/>
      <x:c r="J133" s="24" t="str">
        <x:f>IF(OR(G133="",I133=""),"",G133*I133)</x:f>
      </x:c>
      <x:c r="K133" s="20"/>
      <x:c r="L133" s="20"/>
    </x:row>
    <x:row r="134" ht="22" customHeight="1">
      <x:c r="A134" s="20"/>
      <x:c r="B134" s="22"/>
      <x:c r="C134" s="20"/>
      <x:c r="D134" t="str">
        <x:f>IF(C134="","",IFERROR(VLOOKUP(C134,Customers!$A$6:$B$155,2,FALSE),"INVALID CUSTOMER ID"))</x:f>
      </x:c>
      <x:c r="E134" s="20"/>
      <x:c r="F134" t="str">
        <x:f>IF(E134="","",IFERROR(VLOOKUP(E134,Products!$A$6:$B$110,2,FALSE),"INVALID SKU"))</x:f>
      </x:c>
      <x:c r="G134" s="20"/>
      <x:c r="H134" s="24" t="str">
        <x:f>IF(E134="","",IFERROR(VLOOKUP(E134,Products!$A$6:$D$110,4,FALSE),""))</x:f>
      </x:c>
      <x:c r="I134" s="25"/>
      <x:c r="J134" s="24" t="str">
        <x:f>IF(OR(G134="",I134=""),"",G134*I134)</x:f>
      </x:c>
      <x:c r="K134" s="20"/>
      <x:c r="L134" s="20"/>
    </x:row>
    <x:row r="135" ht="22" customHeight="1">
      <x:c r="A135" s="20"/>
      <x:c r="B135" s="22"/>
      <x:c r="C135" s="20"/>
      <x:c r="D135" t="str">
        <x:f>IF(C135="","",IFERROR(VLOOKUP(C135,Customers!$A$6:$B$155,2,FALSE),"INVALID CUSTOMER ID"))</x:f>
      </x:c>
      <x:c r="E135" s="20"/>
      <x:c r="F135" t="str">
        <x:f>IF(E135="","",IFERROR(VLOOKUP(E135,Products!$A$6:$B$110,2,FALSE),"INVALID SKU"))</x:f>
      </x:c>
      <x:c r="G135" s="20"/>
      <x:c r="H135" s="24" t="str">
        <x:f>IF(E135="","",IFERROR(VLOOKUP(E135,Products!$A$6:$D$110,4,FALSE),""))</x:f>
      </x:c>
      <x:c r="I135" s="25"/>
      <x:c r="J135" s="24" t="str">
        <x:f>IF(OR(G135="",I135=""),"",G135*I135)</x:f>
      </x:c>
      <x:c r="K135" s="20"/>
      <x:c r="L135" s="20"/>
    </x:row>
    <x:row r="136" ht="22" customHeight="1">
      <x:c r="A136" s="20"/>
      <x:c r="B136" s="22"/>
      <x:c r="C136" s="20"/>
      <x:c r="D136" t="str">
        <x:f>IF(C136="","",IFERROR(VLOOKUP(C136,Customers!$A$6:$B$155,2,FALSE),"INVALID CUSTOMER ID"))</x:f>
      </x:c>
      <x:c r="E136" s="20"/>
      <x:c r="F136" t="str">
        <x:f>IF(E136="","",IFERROR(VLOOKUP(E136,Products!$A$6:$B$110,2,FALSE),"INVALID SKU"))</x:f>
      </x:c>
      <x:c r="G136" s="20"/>
      <x:c r="H136" s="24" t="str">
        <x:f>IF(E136="","",IFERROR(VLOOKUP(E136,Products!$A$6:$D$110,4,FALSE),""))</x:f>
      </x:c>
      <x:c r="I136" s="25"/>
      <x:c r="J136" s="24" t="str">
        <x:f>IF(OR(G136="",I136=""),"",G136*I136)</x:f>
      </x:c>
      <x:c r="K136" s="20"/>
      <x:c r="L136" s="20"/>
    </x:row>
    <x:row r="137" ht="22" customHeight="1">
      <x:c r="A137" s="20"/>
      <x:c r="B137" s="22"/>
      <x:c r="C137" s="20"/>
      <x:c r="D137" t="str">
        <x:f>IF(C137="","",IFERROR(VLOOKUP(C137,Customers!$A$6:$B$155,2,FALSE),"INVALID CUSTOMER ID"))</x:f>
      </x:c>
      <x:c r="E137" s="20"/>
      <x:c r="F137" t="str">
        <x:f>IF(E137="","",IFERROR(VLOOKUP(E137,Products!$A$6:$B$110,2,FALSE),"INVALID SKU"))</x:f>
      </x:c>
      <x:c r="G137" s="20"/>
      <x:c r="H137" s="24" t="str">
        <x:f>IF(E137="","",IFERROR(VLOOKUP(E137,Products!$A$6:$D$110,4,FALSE),""))</x:f>
      </x:c>
      <x:c r="I137" s="25"/>
      <x:c r="J137" s="24" t="str">
        <x:f>IF(OR(G137="",I137=""),"",G137*I137)</x:f>
      </x:c>
      <x:c r="K137" s="20"/>
      <x:c r="L137" s="20"/>
    </x:row>
    <x:row r="138" ht="22" customHeight="1">
      <x:c r="A138" s="20"/>
      <x:c r="B138" s="22"/>
      <x:c r="C138" s="20"/>
      <x:c r="D138" t="str">
        <x:f>IF(C138="","",IFERROR(VLOOKUP(C138,Customers!$A$6:$B$155,2,FALSE),"INVALID CUSTOMER ID"))</x:f>
      </x:c>
      <x:c r="E138" s="20"/>
      <x:c r="F138" t="str">
        <x:f>IF(E138="","",IFERROR(VLOOKUP(E138,Products!$A$6:$B$110,2,FALSE),"INVALID SKU"))</x:f>
      </x:c>
      <x:c r="G138" s="20"/>
      <x:c r="H138" s="24" t="str">
        <x:f>IF(E138="","",IFERROR(VLOOKUP(E138,Products!$A$6:$D$110,4,FALSE),""))</x:f>
      </x:c>
      <x:c r="I138" s="25"/>
      <x:c r="J138" s="24" t="str">
        <x:f>IF(OR(G138="",I138=""),"",G138*I138)</x:f>
      </x:c>
      <x:c r="K138" s="20"/>
      <x:c r="L138" s="20"/>
    </x:row>
    <x:row r="139" ht="22" customHeight="1">
      <x:c r="A139" s="20"/>
      <x:c r="B139" s="22"/>
      <x:c r="C139" s="20"/>
      <x:c r="D139" t="str">
        <x:f>IF(C139="","",IFERROR(VLOOKUP(C139,Customers!$A$6:$B$155,2,FALSE),"INVALID CUSTOMER ID"))</x:f>
      </x:c>
      <x:c r="E139" s="20"/>
      <x:c r="F139" t="str">
        <x:f>IF(E139="","",IFERROR(VLOOKUP(E139,Products!$A$6:$B$110,2,FALSE),"INVALID SKU"))</x:f>
      </x:c>
      <x:c r="G139" s="20"/>
      <x:c r="H139" s="24" t="str">
        <x:f>IF(E139="","",IFERROR(VLOOKUP(E139,Products!$A$6:$D$110,4,FALSE),""))</x:f>
      </x:c>
      <x:c r="I139" s="25"/>
      <x:c r="J139" s="24" t="str">
        <x:f>IF(OR(G139="",I139=""),"",G139*I139)</x:f>
      </x:c>
      <x:c r="K139" s="20"/>
      <x:c r="L139" s="20"/>
    </x:row>
    <x:row r="140" ht="22" customHeight="1">
      <x:c r="A140" s="20"/>
      <x:c r="B140" s="22"/>
      <x:c r="C140" s="20"/>
      <x:c r="D140" t="str">
        <x:f>IF(C140="","",IFERROR(VLOOKUP(C140,Customers!$A$6:$B$155,2,FALSE),"INVALID CUSTOMER ID"))</x:f>
      </x:c>
      <x:c r="E140" s="20"/>
      <x:c r="F140" t="str">
        <x:f>IF(E140="","",IFERROR(VLOOKUP(E140,Products!$A$6:$B$110,2,FALSE),"INVALID SKU"))</x:f>
      </x:c>
      <x:c r="G140" s="20"/>
      <x:c r="H140" s="24" t="str">
        <x:f>IF(E140="","",IFERROR(VLOOKUP(E140,Products!$A$6:$D$110,4,FALSE),""))</x:f>
      </x:c>
      <x:c r="I140" s="25"/>
      <x:c r="J140" s="24" t="str">
        <x:f>IF(OR(G140="",I140=""),"",G140*I140)</x:f>
      </x:c>
      <x:c r="K140" s="20"/>
      <x:c r="L140" s="20"/>
    </x:row>
    <x:row r="141" ht="22" customHeight="1">
      <x:c r="A141" s="20"/>
      <x:c r="B141" s="22"/>
      <x:c r="C141" s="20"/>
      <x:c r="D141" t="str">
        <x:f>IF(C141="","",IFERROR(VLOOKUP(C141,Customers!$A$6:$B$155,2,FALSE),"INVALID CUSTOMER ID"))</x:f>
      </x:c>
      <x:c r="E141" s="20"/>
      <x:c r="F141" t="str">
        <x:f>IF(E141="","",IFERROR(VLOOKUP(E141,Products!$A$6:$B$110,2,FALSE),"INVALID SKU"))</x:f>
      </x:c>
      <x:c r="G141" s="20"/>
      <x:c r="H141" s="24" t="str">
        <x:f>IF(E141="","",IFERROR(VLOOKUP(E141,Products!$A$6:$D$110,4,FALSE),""))</x:f>
      </x:c>
      <x:c r="I141" s="25"/>
      <x:c r="J141" s="24" t="str">
        <x:f>IF(OR(G141="",I141=""),"",G141*I141)</x:f>
      </x:c>
      <x:c r="K141" s="20"/>
      <x:c r="L141" s="20"/>
    </x:row>
    <x:row r="142" ht="22" customHeight="1">
      <x:c r="A142" s="20"/>
      <x:c r="B142" s="22"/>
      <x:c r="C142" s="20"/>
      <x:c r="D142" t="str">
        <x:f>IF(C142="","",IFERROR(VLOOKUP(C142,Customers!$A$6:$B$155,2,FALSE),"INVALID CUSTOMER ID"))</x:f>
      </x:c>
      <x:c r="E142" s="20"/>
      <x:c r="F142" t="str">
        <x:f>IF(E142="","",IFERROR(VLOOKUP(E142,Products!$A$6:$B$110,2,FALSE),"INVALID SKU"))</x:f>
      </x:c>
      <x:c r="G142" s="20"/>
      <x:c r="H142" s="24" t="str">
        <x:f>IF(E142="","",IFERROR(VLOOKUP(E142,Products!$A$6:$D$110,4,FALSE),""))</x:f>
      </x:c>
      <x:c r="I142" s="25"/>
      <x:c r="J142" s="24" t="str">
        <x:f>IF(OR(G142="",I142=""),"",G142*I142)</x:f>
      </x:c>
      <x:c r="K142" s="20"/>
      <x:c r="L142" s="20"/>
    </x:row>
    <x:row r="143" ht="22" customHeight="1">
      <x:c r="A143" s="20"/>
      <x:c r="B143" s="22"/>
      <x:c r="C143" s="20"/>
      <x:c r="D143" t="str">
        <x:f>IF(C143="","",IFERROR(VLOOKUP(C143,Customers!$A$6:$B$155,2,FALSE),"INVALID CUSTOMER ID"))</x:f>
      </x:c>
      <x:c r="E143" s="20"/>
      <x:c r="F143" t="str">
        <x:f>IF(E143="","",IFERROR(VLOOKUP(E143,Products!$A$6:$B$110,2,FALSE),"INVALID SKU"))</x:f>
      </x:c>
      <x:c r="G143" s="20"/>
      <x:c r="H143" s="24" t="str">
        <x:f>IF(E143="","",IFERROR(VLOOKUP(E143,Products!$A$6:$D$110,4,FALSE),""))</x:f>
      </x:c>
      <x:c r="I143" s="25"/>
      <x:c r="J143" s="24" t="str">
        <x:f>IF(OR(G143="",I143=""),"",G143*I143)</x:f>
      </x:c>
      <x:c r="K143" s="20"/>
      <x:c r="L143" s="20"/>
    </x:row>
    <x:row r="144" ht="22" customHeight="1">
      <x:c r="A144" s="20"/>
      <x:c r="B144" s="22"/>
      <x:c r="C144" s="20"/>
      <x:c r="D144" t="str">
        <x:f>IF(C144="","",IFERROR(VLOOKUP(C144,Customers!$A$6:$B$155,2,FALSE),"INVALID CUSTOMER ID"))</x:f>
      </x:c>
      <x:c r="E144" s="20"/>
      <x:c r="F144" t="str">
        <x:f>IF(E144="","",IFERROR(VLOOKUP(E144,Products!$A$6:$B$110,2,FALSE),"INVALID SKU"))</x:f>
      </x:c>
      <x:c r="G144" s="20"/>
      <x:c r="H144" s="24" t="str">
        <x:f>IF(E144="","",IFERROR(VLOOKUP(E144,Products!$A$6:$D$110,4,FALSE),""))</x:f>
      </x:c>
      <x:c r="I144" s="25"/>
      <x:c r="J144" s="24" t="str">
        <x:f>IF(OR(G144="",I144=""),"",G144*I144)</x:f>
      </x:c>
      <x:c r="K144" s="20"/>
      <x:c r="L144" s="20"/>
    </x:row>
    <x:row r="145" ht="22" customHeight="1">
      <x:c r="A145" s="20"/>
      <x:c r="B145" s="22"/>
      <x:c r="C145" s="20"/>
      <x:c r="D145" t="str">
        <x:f>IF(C145="","",IFERROR(VLOOKUP(C145,Customers!$A$6:$B$155,2,FALSE),"INVALID CUSTOMER ID"))</x:f>
      </x:c>
      <x:c r="E145" s="20"/>
      <x:c r="F145" t="str">
        <x:f>IF(E145="","",IFERROR(VLOOKUP(E145,Products!$A$6:$B$110,2,FALSE),"INVALID SKU"))</x:f>
      </x:c>
      <x:c r="G145" s="20"/>
      <x:c r="H145" s="24" t="str">
        <x:f>IF(E145="","",IFERROR(VLOOKUP(E145,Products!$A$6:$D$110,4,FALSE),""))</x:f>
      </x:c>
      <x:c r="I145" s="25"/>
      <x:c r="J145" s="24" t="str">
        <x:f>IF(OR(G145="",I145=""),"",G145*I145)</x:f>
      </x:c>
      <x:c r="K145" s="20"/>
      <x:c r="L145" s="20"/>
    </x:row>
    <x:row r="146" ht="22" customHeight="1">
      <x:c r="A146" s="20"/>
      <x:c r="B146" s="22"/>
      <x:c r="C146" s="20"/>
      <x:c r="D146" t="str">
        <x:f>IF(C146="","",IFERROR(VLOOKUP(C146,Customers!$A$6:$B$155,2,FALSE),"INVALID CUSTOMER ID"))</x:f>
      </x:c>
      <x:c r="E146" s="20"/>
      <x:c r="F146" t="str">
        <x:f>IF(E146="","",IFERROR(VLOOKUP(E146,Products!$A$6:$B$110,2,FALSE),"INVALID SKU"))</x:f>
      </x:c>
      <x:c r="G146" s="20"/>
      <x:c r="H146" s="24" t="str">
        <x:f>IF(E146="","",IFERROR(VLOOKUP(E146,Products!$A$6:$D$110,4,FALSE),""))</x:f>
      </x:c>
      <x:c r="I146" s="25"/>
      <x:c r="J146" s="24" t="str">
        <x:f>IF(OR(G146="",I146=""),"",G146*I146)</x:f>
      </x:c>
      <x:c r="K146" s="20"/>
      <x:c r="L146" s="20"/>
    </x:row>
    <x:row r="147" ht="22" customHeight="1">
      <x:c r="A147" s="20"/>
      <x:c r="B147" s="22"/>
      <x:c r="C147" s="20"/>
      <x:c r="D147" t="str">
        <x:f>IF(C147="","",IFERROR(VLOOKUP(C147,Customers!$A$6:$B$155,2,FALSE),"INVALID CUSTOMER ID"))</x:f>
      </x:c>
      <x:c r="E147" s="20"/>
      <x:c r="F147" t="str">
        <x:f>IF(E147="","",IFERROR(VLOOKUP(E147,Products!$A$6:$B$110,2,FALSE),"INVALID SKU"))</x:f>
      </x:c>
      <x:c r="G147" s="20"/>
      <x:c r="H147" s="24" t="str">
        <x:f>IF(E147="","",IFERROR(VLOOKUP(E147,Products!$A$6:$D$110,4,FALSE),""))</x:f>
      </x:c>
      <x:c r="I147" s="25"/>
      <x:c r="J147" s="24" t="str">
        <x:f>IF(OR(G147="",I147=""),"",G147*I147)</x:f>
      </x:c>
      <x:c r="K147" s="20"/>
      <x:c r="L147" s="20"/>
    </x:row>
    <x:row r="148" ht="22" customHeight="1">
      <x:c r="A148" s="20"/>
      <x:c r="B148" s="22"/>
      <x:c r="C148" s="20"/>
      <x:c r="D148" t="str">
        <x:f>IF(C148="","",IFERROR(VLOOKUP(C148,Customers!$A$6:$B$155,2,FALSE),"INVALID CUSTOMER ID"))</x:f>
      </x:c>
      <x:c r="E148" s="20"/>
      <x:c r="F148" t="str">
        <x:f>IF(E148="","",IFERROR(VLOOKUP(E148,Products!$A$6:$B$110,2,FALSE),"INVALID SKU"))</x:f>
      </x:c>
      <x:c r="G148" s="20"/>
      <x:c r="H148" s="24" t="str">
        <x:f>IF(E148="","",IFERROR(VLOOKUP(E148,Products!$A$6:$D$110,4,FALSE),""))</x:f>
      </x:c>
      <x:c r="I148" s="25"/>
      <x:c r="J148" s="24" t="str">
        <x:f>IF(OR(G148="",I148=""),"",G148*I148)</x:f>
      </x:c>
      <x:c r="K148" s="20"/>
      <x:c r="L148" s="20"/>
    </x:row>
    <x:row r="149" ht="22" customHeight="1">
      <x:c r="A149" s="20"/>
      <x:c r="B149" s="22"/>
      <x:c r="C149" s="20"/>
      <x:c r="D149" t="str">
        <x:f>IF(C149="","",IFERROR(VLOOKUP(C149,Customers!$A$6:$B$155,2,FALSE),"INVALID CUSTOMER ID"))</x:f>
      </x:c>
      <x:c r="E149" s="20"/>
      <x:c r="F149" t="str">
        <x:f>IF(E149="","",IFERROR(VLOOKUP(E149,Products!$A$6:$B$110,2,FALSE),"INVALID SKU"))</x:f>
      </x:c>
      <x:c r="G149" s="20"/>
      <x:c r="H149" s="24" t="str">
        <x:f>IF(E149="","",IFERROR(VLOOKUP(E149,Products!$A$6:$D$110,4,FALSE),""))</x:f>
      </x:c>
      <x:c r="I149" s="25"/>
      <x:c r="J149" s="24" t="str">
        <x:f>IF(OR(G149="",I149=""),"",G149*I149)</x:f>
      </x:c>
      <x:c r="K149" s="20"/>
      <x:c r="L149" s="20"/>
    </x:row>
    <x:row r="150" ht="22" customHeight="1">
      <x:c r="A150" s="20"/>
      <x:c r="B150" s="22"/>
      <x:c r="C150" s="20"/>
      <x:c r="D150" t="str">
        <x:f>IF(C150="","",IFERROR(VLOOKUP(C150,Customers!$A$6:$B$155,2,FALSE),"INVALID CUSTOMER ID"))</x:f>
      </x:c>
      <x:c r="E150" s="20"/>
      <x:c r="F150" t="str">
        <x:f>IF(E150="","",IFERROR(VLOOKUP(E150,Products!$A$6:$B$110,2,FALSE),"INVALID SKU"))</x:f>
      </x:c>
      <x:c r="G150" s="20"/>
      <x:c r="H150" s="24" t="str">
        <x:f>IF(E150="","",IFERROR(VLOOKUP(E150,Products!$A$6:$D$110,4,FALSE),""))</x:f>
      </x:c>
      <x:c r="I150" s="25"/>
      <x:c r="J150" s="24" t="str">
        <x:f>IF(OR(G150="",I150=""),"",G150*I150)</x:f>
      </x:c>
      <x:c r="K150" s="20"/>
      <x:c r="L150" s="20"/>
    </x:row>
    <x:row r="151" ht="22" customHeight="1">
      <x:c r="A151" s="20"/>
      <x:c r="B151" s="22"/>
      <x:c r="C151" s="20"/>
      <x:c r="D151" t="str">
        <x:f>IF(C151="","",IFERROR(VLOOKUP(C151,Customers!$A$6:$B$155,2,FALSE),"INVALID CUSTOMER ID"))</x:f>
      </x:c>
      <x:c r="E151" s="20"/>
      <x:c r="F151" t="str">
        <x:f>IF(E151="","",IFERROR(VLOOKUP(E151,Products!$A$6:$B$110,2,FALSE),"INVALID SKU"))</x:f>
      </x:c>
      <x:c r="G151" s="20"/>
      <x:c r="H151" s="24" t="str">
        <x:f>IF(E151="","",IFERROR(VLOOKUP(E151,Products!$A$6:$D$110,4,FALSE),""))</x:f>
      </x:c>
      <x:c r="I151" s="25"/>
      <x:c r="J151" s="24" t="str">
        <x:f>IF(OR(G151="",I151=""),"",G151*I151)</x:f>
      </x:c>
      <x:c r="K151" s="20"/>
      <x:c r="L151" s="20"/>
    </x:row>
    <x:row r="152" ht="22" customHeight="1">
      <x:c r="A152" s="20"/>
      <x:c r="B152" s="22"/>
      <x:c r="C152" s="20"/>
      <x:c r="D152" t="str">
        <x:f>IF(C152="","",IFERROR(VLOOKUP(C152,Customers!$A$6:$B$155,2,FALSE),"INVALID CUSTOMER ID"))</x:f>
      </x:c>
      <x:c r="E152" s="20"/>
      <x:c r="F152" t="str">
        <x:f>IF(E152="","",IFERROR(VLOOKUP(E152,Products!$A$6:$B$110,2,FALSE),"INVALID SKU"))</x:f>
      </x:c>
      <x:c r="G152" s="20"/>
      <x:c r="H152" s="24" t="str">
        <x:f>IF(E152="","",IFERROR(VLOOKUP(E152,Products!$A$6:$D$110,4,FALSE),""))</x:f>
      </x:c>
      <x:c r="I152" s="25"/>
      <x:c r="J152" s="24" t="str">
        <x:f>IF(OR(G152="",I152=""),"",G152*I152)</x:f>
      </x:c>
      <x:c r="K152" s="20"/>
      <x:c r="L152" s="20"/>
    </x:row>
    <x:row r="153" ht="22" customHeight="1">
      <x:c r="A153" s="20"/>
      <x:c r="B153" s="22"/>
      <x:c r="C153" s="20"/>
      <x:c r="D153" t="str">
        <x:f>IF(C153="","",IFERROR(VLOOKUP(C153,Customers!$A$6:$B$155,2,FALSE),"INVALID CUSTOMER ID"))</x:f>
      </x:c>
      <x:c r="E153" s="20"/>
      <x:c r="F153" t="str">
        <x:f>IF(E153="","",IFERROR(VLOOKUP(E153,Products!$A$6:$B$110,2,FALSE),"INVALID SKU"))</x:f>
      </x:c>
      <x:c r="G153" s="20"/>
      <x:c r="H153" s="24" t="str">
        <x:f>IF(E153="","",IFERROR(VLOOKUP(E153,Products!$A$6:$D$110,4,FALSE),""))</x:f>
      </x:c>
      <x:c r="I153" s="25"/>
      <x:c r="J153" s="24" t="str">
        <x:f>IF(OR(G153="",I153=""),"",G153*I153)</x:f>
      </x:c>
      <x:c r="K153" s="20"/>
      <x:c r="L153" s="20"/>
    </x:row>
    <x:row r="154" ht="22" customHeight="1">
      <x:c r="A154" s="20"/>
      <x:c r="B154" s="22"/>
      <x:c r="C154" s="20"/>
      <x:c r="D154" t="str">
        <x:f>IF(C154="","",IFERROR(VLOOKUP(C154,Customers!$A$6:$B$155,2,FALSE),"INVALID CUSTOMER ID"))</x:f>
      </x:c>
      <x:c r="E154" s="20"/>
      <x:c r="F154" t="str">
        <x:f>IF(E154="","",IFERROR(VLOOKUP(E154,Products!$A$6:$B$110,2,FALSE),"INVALID SKU"))</x:f>
      </x:c>
      <x:c r="G154" s="20"/>
      <x:c r="H154" s="24" t="str">
        <x:f>IF(E154="","",IFERROR(VLOOKUP(E154,Products!$A$6:$D$110,4,FALSE),""))</x:f>
      </x:c>
      <x:c r="I154" s="25"/>
      <x:c r="J154" s="24" t="str">
        <x:f>IF(OR(G154="",I154=""),"",G154*I154)</x:f>
      </x:c>
      <x:c r="K154" s="20"/>
      <x:c r="L154" s="20"/>
    </x:row>
    <x:row r="155" ht="22" customHeight="1">
      <x:c r="A155" s="20"/>
      <x:c r="B155" s="22"/>
      <x:c r="C155" s="20"/>
      <x:c r="D155" t="str">
        <x:f>IF(C155="","",IFERROR(VLOOKUP(C155,Customers!$A$6:$B$155,2,FALSE),"INVALID CUSTOMER ID"))</x:f>
      </x:c>
      <x:c r="E155" s="20"/>
      <x:c r="F155" t="str">
        <x:f>IF(E155="","",IFERROR(VLOOKUP(E155,Products!$A$6:$B$110,2,FALSE),"INVALID SKU"))</x:f>
      </x:c>
      <x:c r="G155" s="20"/>
      <x:c r="H155" s="24" t="str">
        <x:f>IF(E155="","",IFERROR(VLOOKUP(E155,Products!$A$6:$D$110,4,FALSE),""))</x:f>
      </x:c>
      <x:c r="I155" s="25"/>
      <x:c r="J155" s="24" t="str">
        <x:f>IF(OR(G155="",I155=""),"",G155*I155)</x:f>
      </x:c>
      <x:c r="K155" s="20"/>
      <x:c r="L155" s="20"/>
    </x:row>
    <x:row r="156" ht="22" customHeight="1">
      <x:c r="A156" s="20"/>
      <x:c r="B156" s="22"/>
      <x:c r="C156" s="20"/>
      <x:c r="D156" t="str">
        <x:f>IF(C156="","",IFERROR(VLOOKUP(C156,Customers!$A$6:$B$155,2,FALSE),"INVALID CUSTOMER ID"))</x:f>
      </x:c>
      <x:c r="E156" s="20"/>
      <x:c r="F156" t="str">
        <x:f>IF(E156="","",IFERROR(VLOOKUP(E156,Products!$A$6:$B$110,2,FALSE),"INVALID SKU"))</x:f>
      </x:c>
      <x:c r="G156" s="20"/>
      <x:c r="H156" s="24" t="str">
        <x:f>IF(E156="","",IFERROR(VLOOKUP(E156,Products!$A$6:$D$110,4,FALSE),""))</x:f>
      </x:c>
      <x:c r="I156" s="25"/>
      <x:c r="J156" s="24" t="str">
        <x:f>IF(OR(G156="",I156=""),"",G156*I156)</x:f>
      </x:c>
      <x:c r="K156" s="20"/>
      <x:c r="L156" s="20"/>
    </x:row>
    <x:row r="157" ht="22" customHeight="1">
      <x:c r="A157" s="20"/>
      <x:c r="B157" s="22"/>
      <x:c r="C157" s="20"/>
      <x:c r="D157" t="str">
        <x:f>IF(C157="","",IFERROR(VLOOKUP(C157,Customers!$A$6:$B$155,2,FALSE),"INVALID CUSTOMER ID"))</x:f>
      </x:c>
      <x:c r="E157" s="20"/>
      <x:c r="F157" t="str">
        <x:f>IF(E157="","",IFERROR(VLOOKUP(E157,Products!$A$6:$B$110,2,FALSE),"INVALID SKU"))</x:f>
      </x:c>
      <x:c r="G157" s="20"/>
      <x:c r="H157" s="24" t="str">
        <x:f>IF(E157="","",IFERROR(VLOOKUP(E157,Products!$A$6:$D$110,4,FALSE),""))</x:f>
      </x:c>
      <x:c r="I157" s="25"/>
      <x:c r="J157" s="24" t="str">
        <x:f>IF(OR(G157="",I157=""),"",G157*I157)</x:f>
      </x:c>
      <x:c r="K157" s="20"/>
      <x:c r="L157" s="20"/>
    </x:row>
    <x:row r="158" ht="22" customHeight="1">
      <x:c r="A158" s="20"/>
      <x:c r="B158" s="22"/>
      <x:c r="C158" s="20"/>
      <x:c r="D158" t="str">
        <x:f>IF(C158="","",IFERROR(VLOOKUP(C158,Customers!$A$6:$B$155,2,FALSE),"INVALID CUSTOMER ID"))</x:f>
      </x:c>
      <x:c r="E158" s="20"/>
      <x:c r="F158" t="str">
        <x:f>IF(E158="","",IFERROR(VLOOKUP(E158,Products!$A$6:$B$110,2,FALSE),"INVALID SKU"))</x:f>
      </x:c>
      <x:c r="G158" s="20"/>
      <x:c r="H158" s="24" t="str">
        <x:f>IF(E158="","",IFERROR(VLOOKUP(E158,Products!$A$6:$D$110,4,FALSE),""))</x:f>
      </x:c>
      <x:c r="I158" s="25"/>
      <x:c r="J158" s="24" t="str">
        <x:f>IF(OR(G158="",I158=""),"",G158*I158)</x:f>
      </x:c>
      <x:c r="K158" s="20"/>
      <x:c r="L158" s="20"/>
    </x:row>
    <x:row r="159" ht="22" customHeight="1">
      <x:c r="A159" s="20"/>
      <x:c r="B159" s="22"/>
      <x:c r="C159" s="20"/>
      <x:c r="D159" t="str">
        <x:f>IF(C159="","",IFERROR(VLOOKUP(C159,Customers!$A$6:$B$155,2,FALSE),"INVALID CUSTOMER ID"))</x:f>
      </x:c>
      <x:c r="E159" s="20"/>
      <x:c r="F159" t="str">
        <x:f>IF(E159="","",IFERROR(VLOOKUP(E159,Products!$A$6:$B$110,2,FALSE),"INVALID SKU"))</x:f>
      </x:c>
      <x:c r="G159" s="20"/>
      <x:c r="H159" s="24" t="str">
        <x:f>IF(E159="","",IFERROR(VLOOKUP(E159,Products!$A$6:$D$110,4,FALSE),""))</x:f>
      </x:c>
      <x:c r="I159" s="25"/>
      <x:c r="J159" s="24" t="str">
        <x:f>IF(OR(G159="",I159=""),"",G159*I159)</x:f>
      </x:c>
      <x:c r="K159" s="20"/>
      <x:c r="L159" s="20"/>
    </x:row>
    <x:row r="160" ht="22" customHeight="1">
      <x:c r="A160" s="20"/>
      <x:c r="B160" s="22"/>
      <x:c r="C160" s="20"/>
      <x:c r="D160" t="str">
        <x:f>IF(C160="","",IFERROR(VLOOKUP(C160,Customers!$A$6:$B$155,2,FALSE),"INVALID CUSTOMER ID"))</x:f>
      </x:c>
      <x:c r="E160" s="20"/>
      <x:c r="F160" t="str">
        <x:f>IF(E160="","",IFERROR(VLOOKUP(E160,Products!$A$6:$B$110,2,FALSE),"INVALID SKU"))</x:f>
      </x:c>
      <x:c r="G160" s="20"/>
      <x:c r="H160" s="24" t="str">
        <x:f>IF(E160="","",IFERROR(VLOOKUP(E160,Products!$A$6:$D$110,4,FALSE),""))</x:f>
      </x:c>
      <x:c r="I160" s="25"/>
      <x:c r="J160" s="24" t="str">
        <x:f>IF(OR(G160="",I160=""),"",G160*I160)</x:f>
      </x:c>
      <x:c r="K160" s="20"/>
      <x:c r="L160" s="20"/>
    </x:row>
    <x:row r="161" ht="22" customHeight="1">
      <x:c r="A161" s="20"/>
      <x:c r="B161" s="22"/>
      <x:c r="C161" s="20"/>
      <x:c r="D161" t="str">
        <x:f>IF(C161="","",IFERROR(VLOOKUP(C161,Customers!$A$6:$B$155,2,FALSE),"INVALID CUSTOMER ID"))</x:f>
      </x:c>
      <x:c r="E161" s="20"/>
      <x:c r="F161" t="str">
        <x:f>IF(E161="","",IFERROR(VLOOKUP(E161,Products!$A$6:$B$110,2,FALSE),"INVALID SKU"))</x:f>
      </x:c>
      <x:c r="G161" s="20"/>
      <x:c r="H161" s="24" t="str">
        <x:f>IF(E161="","",IFERROR(VLOOKUP(E161,Products!$A$6:$D$110,4,FALSE),""))</x:f>
      </x:c>
      <x:c r="I161" s="25"/>
      <x:c r="J161" s="24" t="str">
        <x:f>IF(OR(G161="",I161=""),"",G161*I161)</x:f>
      </x:c>
      <x:c r="K161" s="20"/>
      <x:c r="L161" s="20"/>
    </x:row>
    <x:row r="162" ht="22" customHeight="1">
      <x:c r="A162" s="20"/>
      <x:c r="B162" s="22"/>
      <x:c r="C162" s="20"/>
      <x:c r="D162" t="str">
        <x:f>IF(C162="","",IFERROR(VLOOKUP(C162,Customers!$A$6:$B$155,2,FALSE),"INVALID CUSTOMER ID"))</x:f>
      </x:c>
      <x:c r="E162" s="20"/>
      <x:c r="F162" t="str">
        <x:f>IF(E162="","",IFERROR(VLOOKUP(E162,Products!$A$6:$B$110,2,FALSE),"INVALID SKU"))</x:f>
      </x:c>
      <x:c r="G162" s="20"/>
      <x:c r="H162" s="24" t="str">
        <x:f>IF(E162="","",IFERROR(VLOOKUP(E162,Products!$A$6:$D$110,4,FALSE),""))</x:f>
      </x:c>
      <x:c r="I162" s="25"/>
      <x:c r="J162" s="24" t="str">
        <x:f>IF(OR(G162="",I162=""),"",G162*I162)</x:f>
      </x:c>
      <x:c r="K162" s="20"/>
      <x:c r="L162" s="20"/>
    </x:row>
    <x:row r="163" ht="22" customHeight="1">
      <x:c r="A163" s="20"/>
      <x:c r="B163" s="22"/>
      <x:c r="C163" s="20"/>
      <x:c r="D163" t="str">
        <x:f>IF(C163="","",IFERROR(VLOOKUP(C163,Customers!$A$6:$B$155,2,FALSE),"INVALID CUSTOMER ID"))</x:f>
      </x:c>
      <x:c r="E163" s="20"/>
      <x:c r="F163" t="str">
        <x:f>IF(E163="","",IFERROR(VLOOKUP(E163,Products!$A$6:$B$110,2,FALSE),"INVALID SKU"))</x:f>
      </x:c>
      <x:c r="G163" s="20"/>
      <x:c r="H163" s="24" t="str">
        <x:f>IF(E163="","",IFERROR(VLOOKUP(E163,Products!$A$6:$D$110,4,FALSE),""))</x:f>
      </x:c>
      <x:c r="I163" s="25"/>
      <x:c r="J163" s="24" t="str">
        <x:f>IF(OR(G163="",I163=""),"",G163*I163)</x:f>
      </x:c>
      <x:c r="K163" s="20"/>
      <x:c r="L163" s="20"/>
    </x:row>
    <x:row r="164" ht="22" customHeight="1">
      <x:c r="A164" s="20"/>
      <x:c r="B164" s="22"/>
      <x:c r="C164" s="20"/>
      <x:c r="D164" t="str">
        <x:f>IF(C164="","",IFERROR(VLOOKUP(C164,Customers!$A$6:$B$155,2,FALSE),"INVALID CUSTOMER ID"))</x:f>
      </x:c>
      <x:c r="E164" s="20"/>
      <x:c r="F164" t="str">
        <x:f>IF(E164="","",IFERROR(VLOOKUP(E164,Products!$A$6:$B$110,2,FALSE),"INVALID SKU"))</x:f>
      </x:c>
      <x:c r="G164" s="20"/>
      <x:c r="H164" s="24" t="str">
        <x:f>IF(E164="","",IFERROR(VLOOKUP(E164,Products!$A$6:$D$110,4,FALSE),""))</x:f>
      </x:c>
      <x:c r="I164" s="25"/>
      <x:c r="J164" s="24" t="str">
        <x:f>IF(OR(G164="",I164=""),"",G164*I164)</x:f>
      </x:c>
      <x:c r="K164" s="20"/>
      <x:c r="L164" s="20"/>
    </x:row>
    <x:row r="165" ht="22" customHeight="1">
      <x:c r="A165" s="20"/>
      <x:c r="B165" s="22"/>
      <x:c r="C165" s="20"/>
      <x:c r="D165" t="str">
        <x:f>IF(C165="","",IFERROR(VLOOKUP(C165,Customers!$A$6:$B$155,2,FALSE),"INVALID CUSTOMER ID"))</x:f>
      </x:c>
      <x:c r="E165" s="20"/>
      <x:c r="F165" t="str">
        <x:f>IF(E165="","",IFERROR(VLOOKUP(E165,Products!$A$6:$B$110,2,FALSE),"INVALID SKU"))</x:f>
      </x:c>
      <x:c r="G165" s="20"/>
      <x:c r="H165" s="24" t="str">
        <x:f>IF(E165="","",IFERROR(VLOOKUP(E165,Products!$A$6:$D$110,4,FALSE),""))</x:f>
      </x:c>
      <x:c r="I165" s="25"/>
      <x:c r="J165" s="24" t="str">
        <x:f>IF(OR(G165="",I165=""),"",G165*I165)</x:f>
      </x:c>
      <x:c r="K165" s="20"/>
      <x:c r="L165" s="20"/>
    </x:row>
    <x:row r="166" ht="22" customHeight="1">
      <x:c r="A166" s="20"/>
      <x:c r="B166" s="22"/>
      <x:c r="C166" s="20"/>
      <x:c r="D166" t="str">
        <x:f>IF(C166="","",IFERROR(VLOOKUP(C166,Customers!$A$6:$B$155,2,FALSE),"INVALID CUSTOMER ID"))</x:f>
      </x:c>
      <x:c r="E166" s="20"/>
      <x:c r="F166" t="str">
        <x:f>IF(E166="","",IFERROR(VLOOKUP(E166,Products!$A$6:$B$110,2,FALSE),"INVALID SKU"))</x:f>
      </x:c>
      <x:c r="G166" s="20"/>
      <x:c r="H166" s="24" t="str">
        <x:f>IF(E166="","",IFERROR(VLOOKUP(E166,Products!$A$6:$D$110,4,FALSE),""))</x:f>
      </x:c>
      <x:c r="I166" s="25"/>
      <x:c r="J166" s="24" t="str">
        <x:f>IF(OR(G166="",I166=""),"",G166*I166)</x:f>
      </x:c>
      <x:c r="K166" s="20"/>
      <x:c r="L166" s="20"/>
    </x:row>
    <x:row r="167" ht="22" customHeight="1">
      <x:c r="A167" s="20"/>
      <x:c r="B167" s="22"/>
      <x:c r="C167" s="20"/>
      <x:c r="D167" t="str">
        <x:f>IF(C167="","",IFERROR(VLOOKUP(C167,Customers!$A$6:$B$155,2,FALSE),"INVALID CUSTOMER ID"))</x:f>
      </x:c>
      <x:c r="E167" s="20"/>
      <x:c r="F167" t="str">
        <x:f>IF(E167="","",IFERROR(VLOOKUP(E167,Products!$A$6:$B$110,2,FALSE),"INVALID SKU"))</x:f>
      </x:c>
      <x:c r="G167" s="20"/>
      <x:c r="H167" s="24" t="str">
        <x:f>IF(E167="","",IFERROR(VLOOKUP(E167,Products!$A$6:$D$110,4,FALSE),""))</x:f>
      </x:c>
      <x:c r="I167" s="25"/>
      <x:c r="J167" s="24" t="str">
        <x:f>IF(OR(G167="",I167=""),"",G167*I167)</x:f>
      </x:c>
      <x:c r="K167" s="20"/>
      <x:c r="L167" s="20"/>
    </x:row>
    <x:row r="168" ht="22" customHeight="1">
      <x:c r="A168" s="20"/>
      <x:c r="B168" s="22"/>
      <x:c r="C168" s="20"/>
      <x:c r="D168" t="str">
        <x:f>IF(C168="","",IFERROR(VLOOKUP(C168,Customers!$A$6:$B$155,2,FALSE),"INVALID CUSTOMER ID"))</x:f>
      </x:c>
      <x:c r="E168" s="20"/>
      <x:c r="F168" t="str">
        <x:f>IF(E168="","",IFERROR(VLOOKUP(E168,Products!$A$6:$B$110,2,FALSE),"INVALID SKU"))</x:f>
      </x:c>
      <x:c r="G168" s="20"/>
      <x:c r="H168" s="24" t="str">
        <x:f>IF(E168="","",IFERROR(VLOOKUP(E168,Products!$A$6:$D$110,4,FALSE),""))</x:f>
      </x:c>
      <x:c r="I168" s="25"/>
      <x:c r="J168" s="24" t="str">
        <x:f>IF(OR(G168="",I168=""),"",G168*I168)</x:f>
      </x:c>
      <x:c r="K168" s="20"/>
      <x:c r="L168" s="20"/>
    </x:row>
    <x:row r="169" ht="22" customHeight="1">
      <x:c r="A169" s="20"/>
      <x:c r="B169" s="22"/>
      <x:c r="C169" s="20"/>
      <x:c r="D169" t="str">
        <x:f>IF(C169="","",IFERROR(VLOOKUP(C169,Customers!$A$6:$B$155,2,FALSE),"INVALID CUSTOMER ID"))</x:f>
      </x:c>
      <x:c r="E169" s="20"/>
      <x:c r="F169" t="str">
        <x:f>IF(E169="","",IFERROR(VLOOKUP(E169,Products!$A$6:$B$110,2,FALSE),"INVALID SKU"))</x:f>
      </x:c>
      <x:c r="G169" s="20"/>
      <x:c r="H169" s="24" t="str">
        <x:f>IF(E169="","",IFERROR(VLOOKUP(E169,Products!$A$6:$D$110,4,FALSE),""))</x:f>
      </x:c>
      <x:c r="I169" s="25"/>
      <x:c r="J169" s="24" t="str">
        <x:f>IF(OR(G169="",I169=""),"",G169*I169)</x:f>
      </x:c>
      <x:c r="K169" s="20"/>
      <x:c r="L169" s="20"/>
    </x:row>
    <x:row r="170" ht="22" customHeight="1">
      <x:c r="A170" s="20"/>
      <x:c r="B170" s="22"/>
      <x:c r="C170" s="20"/>
      <x:c r="D170" t="str">
        <x:f>IF(C170="","",IFERROR(VLOOKUP(C170,Customers!$A$6:$B$155,2,FALSE),"INVALID CUSTOMER ID"))</x:f>
      </x:c>
      <x:c r="E170" s="20"/>
      <x:c r="F170" t="str">
        <x:f>IF(E170="","",IFERROR(VLOOKUP(E170,Products!$A$6:$B$110,2,FALSE),"INVALID SKU"))</x:f>
      </x:c>
      <x:c r="G170" s="20"/>
      <x:c r="H170" s="24" t="str">
        <x:f>IF(E170="","",IFERROR(VLOOKUP(E170,Products!$A$6:$D$110,4,FALSE),""))</x:f>
      </x:c>
      <x:c r="I170" s="25"/>
      <x:c r="J170" s="24" t="str">
        <x:f>IF(OR(G170="",I170=""),"",G170*I170)</x:f>
      </x:c>
      <x:c r="K170" s="20"/>
      <x:c r="L170" s="20"/>
    </x:row>
    <x:row r="171" ht="22" customHeight="1">
      <x:c r="A171" s="20"/>
      <x:c r="B171" s="22"/>
      <x:c r="C171" s="20"/>
      <x:c r="D171" t="str">
        <x:f>IF(C171="","",IFERROR(VLOOKUP(C171,Customers!$A$6:$B$155,2,FALSE),"INVALID CUSTOMER ID"))</x:f>
      </x:c>
      <x:c r="E171" s="20"/>
      <x:c r="F171" t="str">
        <x:f>IF(E171="","",IFERROR(VLOOKUP(E171,Products!$A$6:$B$110,2,FALSE),"INVALID SKU"))</x:f>
      </x:c>
      <x:c r="G171" s="20"/>
      <x:c r="H171" s="24" t="str">
        <x:f>IF(E171="","",IFERROR(VLOOKUP(E171,Products!$A$6:$D$110,4,FALSE),""))</x:f>
      </x:c>
      <x:c r="I171" s="25"/>
      <x:c r="J171" s="24" t="str">
        <x:f>IF(OR(G171="",I171=""),"",G171*I171)</x:f>
      </x:c>
      <x:c r="K171" s="20"/>
      <x:c r="L171" s="20"/>
    </x:row>
    <x:row r="172" ht="22" customHeight="1">
      <x:c r="A172" s="20"/>
      <x:c r="B172" s="22"/>
      <x:c r="C172" s="20"/>
      <x:c r="D172" t="str">
        <x:f>IF(C172="","",IFERROR(VLOOKUP(C172,Customers!$A$6:$B$155,2,FALSE),"INVALID CUSTOMER ID"))</x:f>
      </x:c>
      <x:c r="E172" s="20"/>
      <x:c r="F172" t="str">
        <x:f>IF(E172="","",IFERROR(VLOOKUP(E172,Products!$A$6:$B$110,2,FALSE),"INVALID SKU"))</x:f>
      </x:c>
      <x:c r="G172" s="20"/>
      <x:c r="H172" s="24" t="str">
        <x:f>IF(E172="","",IFERROR(VLOOKUP(E172,Products!$A$6:$D$110,4,FALSE),""))</x:f>
      </x:c>
      <x:c r="I172" s="25"/>
      <x:c r="J172" s="24" t="str">
        <x:f>IF(OR(G172="",I172=""),"",G172*I172)</x:f>
      </x:c>
      <x:c r="K172" s="20"/>
      <x:c r="L172" s="20"/>
    </x:row>
    <x:row r="173" ht="22" customHeight="1">
      <x:c r="A173" s="20"/>
      <x:c r="B173" s="22"/>
      <x:c r="C173" s="20"/>
      <x:c r="D173" t="str">
        <x:f>IF(C173="","",IFERROR(VLOOKUP(C173,Customers!$A$6:$B$155,2,FALSE),"INVALID CUSTOMER ID"))</x:f>
      </x:c>
      <x:c r="E173" s="20"/>
      <x:c r="F173" t="str">
        <x:f>IF(E173="","",IFERROR(VLOOKUP(E173,Products!$A$6:$B$110,2,FALSE),"INVALID SKU"))</x:f>
      </x:c>
      <x:c r="G173" s="20"/>
      <x:c r="H173" s="24" t="str">
        <x:f>IF(E173="","",IFERROR(VLOOKUP(E173,Products!$A$6:$D$110,4,FALSE),""))</x:f>
      </x:c>
      <x:c r="I173" s="25"/>
      <x:c r="J173" s="24" t="str">
        <x:f>IF(OR(G173="",I173=""),"",G173*I173)</x:f>
      </x:c>
      <x:c r="K173" s="20"/>
      <x:c r="L173" s="20"/>
    </x:row>
    <x:row r="174" ht="22" customHeight="1">
      <x:c r="A174" s="20"/>
      <x:c r="B174" s="22"/>
      <x:c r="C174" s="20"/>
      <x:c r="D174" t="str">
        <x:f>IF(C174="","",IFERROR(VLOOKUP(C174,Customers!$A$6:$B$155,2,FALSE),"INVALID CUSTOMER ID"))</x:f>
      </x:c>
      <x:c r="E174" s="20"/>
      <x:c r="F174" t="str">
        <x:f>IF(E174="","",IFERROR(VLOOKUP(E174,Products!$A$6:$B$110,2,FALSE),"INVALID SKU"))</x:f>
      </x:c>
      <x:c r="G174" s="20"/>
      <x:c r="H174" s="24" t="str">
        <x:f>IF(E174="","",IFERROR(VLOOKUP(E174,Products!$A$6:$D$110,4,FALSE),""))</x:f>
      </x:c>
      <x:c r="I174" s="25"/>
      <x:c r="J174" s="24" t="str">
        <x:f>IF(OR(G174="",I174=""),"",G174*I174)</x:f>
      </x:c>
      <x:c r="K174" s="20"/>
      <x:c r="L174" s="20"/>
    </x:row>
    <x:row r="175" ht="22" customHeight="1">
      <x:c r="A175" s="20"/>
      <x:c r="B175" s="22"/>
      <x:c r="C175" s="20"/>
      <x:c r="D175" t="str">
        <x:f>IF(C175="","",IFERROR(VLOOKUP(C175,Customers!$A$6:$B$155,2,FALSE),"INVALID CUSTOMER ID"))</x:f>
      </x:c>
      <x:c r="E175" s="20"/>
      <x:c r="F175" t="str">
        <x:f>IF(E175="","",IFERROR(VLOOKUP(E175,Products!$A$6:$B$110,2,FALSE),"INVALID SKU"))</x:f>
      </x:c>
      <x:c r="G175" s="20"/>
      <x:c r="H175" s="24" t="str">
        <x:f>IF(E175="","",IFERROR(VLOOKUP(E175,Products!$A$6:$D$110,4,FALSE),""))</x:f>
      </x:c>
      <x:c r="I175" s="25"/>
      <x:c r="J175" s="24" t="str">
        <x:f>IF(OR(G175="",I175=""),"",G175*I175)</x:f>
      </x:c>
      <x:c r="K175" s="20"/>
      <x:c r="L175" s="20"/>
    </x:row>
    <x:row r="176" ht="22" customHeight="1">
      <x:c r="A176" s="20"/>
      <x:c r="B176" s="22"/>
      <x:c r="C176" s="20"/>
      <x:c r="D176" t="str">
        <x:f>IF(C176="","",IFERROR(VLOOKUP(C176,Customers!$A$6:$B$155,2,FALSE),"INVALID CUSTOMER ID"))</x:f>
      </x:c>
      <x:c r="E176" s="20"/>
      <x:c r="F176" t="str">
        <x:f>IF(E176="","",IFERROR(VLOOKUP(E176,Products!$A$6:$B$110,2,FALSE),"INVALID SKU"))</x:f>
      </x:c>
      <x:c r="G176" s="20"/>
      <x:c r="H176" s="24" t="str">
        <x:f>IF(E176="","",IFERROR(VLOOKUP(E176,Products!$A$6:$D$110,4,FALSE),""))</x:f>
      </x:c>
      <x:c r="I176" s="25"/>
      <x:c r="J176" s="24" t="str">
        <x:f>IF(OR(G176="",I176=""),"",G176*I176)</x:f>
      </x:c>
      <x:c r="K176" s="20"/>
      <x:c r="L176" s="20"/>
    </x:row>
    <x:row r="177" ht="22" customHeight="1">
      <x:c r="A177" s="20"/>
      <x:c r="B177" s="22"/>
      <x:c r="C177" s="20"/>
      <x:c r="D177" t="str">
        <x:f>IF(C177="","",IFERROR(VLOOKUP(C177,Customers!$A$6:$B$155,2,FALSE),"INVALID CUSTOMER ID"))</x:f>
      </x:c>
      <x:c r="E177" s="20"/>
      <x:c r="F177" t="str">
        <x:f>IF(E177="","",IFERROR(VLOOKUP(E177,Products!$A$6:$B$110,2,FALSE),"INVALID SKU"))</x:f>
      </x:c>
      <x:c r="G177" s="20"/>
      <x:c r="H177" s="24" t="str">
        <x:f>IF(E177="","",IFERROR(VLOOKUP(E177,Products!$A$6:$D$110,4,FALSE),""))</x:f>
      </x:c>
      <x:c r="I177" s="25"/>
      <x:c r="J177" s="24" t="str">
        <x:f>IF(OR(G177="",I177=""),"",G177*I177)</x:f>
      </x:c>
      <x:c r="K177" s="20"/>
      <x:c r="L177" s="20"/>
    </x:row>
    <x:row r="178" ht="22" customHeight="1">
      <x:c r="A178" s="20"/>
      <x:c r="B178" s="22"/>
      <x:c r="C178" s="20"/>
      <x:c r="D178" t="str">
        <x:f>IF(C178="","",IFERROR(VLOOKUP(C178,Customers!$A$6:$B$155,2,FALSE),"INVALID CUSTOMER ID"))</x:f>
      </x:c>
      <x:c r="E178" s="20"/>
      <x:c r="F178" t="str">
        <x:f>IF(E178="","",IFERROR(VLOOKUP(E178,Products!$A$6:$B$110,2,FALSE),"INVALID SKU"))</x:f>
      </x:c>
      <x:c r="G178" s="20"/>
      <x:c r="H178" s="24" t="str">
        <x:f>IF(E178="","",IFERROR(VLOOKUP(E178,Products!$A$6:$D$110,4,FALSE),""))</x:f>
      </x:c>
      <x:c r="I178" s="25"/>
      <x:c r="J178" s="24" t="str">
        <x:f>IF(OR(G178="",I178=""),"",G178*I178)</x:f>
      </x:c>
      <x:c r="K178" s="20"/>
      <x:c r="L178" s="20"/>
    </x:row>
    <x:row r="179" ht="22" customHeight="1">
      <x:c r="A179" s="20"/>
      <x:c r="B179" s="22"/>
      <x:c r="C179" s="20"/>
      <x:c r="D179" t="str">
        <x:f>IF(C179="","",IFERROR(VLOOKUP(C179,Customers!$A$6:$B$155,2,FALSE),"INVALID CUSTOMER ID"))</x:f>
      </x:c>
      <x:c r="E179" s="20"/>
      <x:c r="F179" t="str">
        <x:f>IF(E179="","",IFERROR(VLOOKUP(E179,Products!$A$6:$B$110,2,FALSE),"INVALID SKU"))</x:f>
      </x:c>
      <x:c r="G179" s="20"/>
      <x:c r="H179" s="24" t="str">
        <x:f>IF(E179="","",IFERROR(VLOOKUP(E179,Products!$A$6:$D$110,4,FALSE),""))</x:f>
      </x:c>
      <x:c r="I179" s="25"/>
      <x:c r="J179" s="24" t="str">
        <x:f>IF(OR(G179="",I179=""),"",G179*I179)</x:f>
      </x:c>
      <x:c r="K179" s="20"/>
      <x:c r="L179" s="20"/>
    </x:row>
    <x:row r="180" ht="22" customHeight="1">
      <x:c r="A180" s="20"/>
      <x:c r="B180" s="22"/>
      <x:c r="C180" s="20"/>
      <x:c r="D180" t="str">
        <x:f>IF(C180="","",IFERROR(VLOOKUP(C180,Customers!$A$6:$B$155,2,FALSE),"INVALID CUSTOMER ID"))</x:f>
      </x:c>
      <x:c r="E180" s="20"/>
      <x:c r="F180" t="str">
        <x:f>IF(E180="","",IFERROR(VLOOKUP(E180,Products!$A$6:$B$110,2,FALSE),"INVALID SKU"))</x:f>
      </x:c>
      <x:c r="G180" s="20"/>
      <x:c r="H180" s="24" t="str">
        <x:f>IF(E180="","",IFERROR(VLOOKUP(E180,Products!$A$6:$D$110,4,FALSE),""))</x:f>
      </x:c>
      <x:c r="I180" s="25"/>
      <x:c r="J180" s="24" t="str">
        <x:f>IF(OR(G180="",I180=""),"",G180*I180)</x:f>
      </x:c>
      <x:c r="K180" s="20"/>
      <x:c r="L180" s="20"/>
    </x:row>
    <x:row r="181" ht="22" customHeight="1">
      <x:c r="A181" s="20"/>
      <x:c r="B181" s="22"/>
      <x:c r="C181" s="20"/>
      <x:c r="D181" t="str">
        <x:f>IF(C181="","",IFERROR(VLOOKUP(C181,Customers!$A$6:$B$155,2,FALSE),"INVALID CUSTOMER ID"))</x:f>
      </x:c>
      <x:c r="E181" s="20"/>
      <x:c r="F181" t="str">
        <x:f>IF(E181="","",IFERROR(VLOOKUP(E181,Products!$A$6:$B$110,2,FALSE),"INVALID SKU"))</x:f>
      </x:c>
      <x:c r="G181" s="20"/>
      <x:c r="H181" s="24" t="str">
        <x:f>IF(E181="","",IFERROR(VLOOKUP(E181,Products!$A$6:$D$110,4,FALSE),""))</x:f>
      </x:c>
      <x:c r="I181" s="25"/>
      <x:c r="J181" s="24" t="str">
        <x:f>IF(OR(G181="",I181=""),"",G181*I181)</x:f>
      </x:c>
      <x:c r="K181" s="20"/>
      <x:c r="L181" s="20"/>
    </x:row>
    <x:row r="182" ht="22" customHeight="1">
      <x:c r="A182" s="20"/>
      <x:c r="B182" s="22"/>
      <x:c r="C182" s="20"/>
      <x:c r="D182" t="str">
        <x:f>IF(C182="","",IFERROR(VLOOKUP(C182,Customers!$A$6:$B$155,2,FALSE),"INVALID CUSTOMER ID"))</x:f>
      </x:c>
      <x:c r="E182" s="20"/>
      <x:c r="F182" t="str">
        <x:f>IF(E182="","",IFERROR(VLOOKUP(E182,Products!$A$6:$B$110,2,FALSE),"INVALID SKU"))</x:f>
      </x:c>
      <x:c r="G182" s="20"/>
      <x:c r="H182" s="24" t="str">
        <x:f>IF(E182="","",IFERROR(VLOOKUP(E182,Products!$A$6:$D$110,4,FALSE),""))</x:f>
      </x:c>
      <x:c r="I182" s="25"/>
      <x:c r="J182" s="24" t="str">
        <x:f>IF(OR(G182="",I182=""),"",G182*I182)</x:f>
      </x:c>
      <x:c r="K182" s="20"/>
      <x:c r="L182" s="20"/>
    </x:row>
    <x:row r="183" ht="22" customHeight="1">
      <x:c r="A183" s="20"/>
      <x:c r="B183" s="22"/>
      <x:c r="C183" s="20"/>
      <x:c r="D183" t="str">
        <x:f>IF(C183="","",IFERROR(VLOOKUP(C183,Customers!$A$6:$B$155,2,FALSE),"INVALID CUSTOMER ID"))</x:f>
      </x:c>
      <x:c r="E183" s="20"/>
      <x:c r="F183" t="str">
        <x:f>IF(E183="","",IFERROR(VLOOKUP(E183,Products!$A$6:$B$110,2,FALSE),"INVALID SKU"))</x:f>
      </x:c>
      <x:c r="G183" s="20"/>
      <x:c r="H183" s="24" t="str">
        <x:f>IF(E183="","",IFERROR(VLOOKUP(E183,Products!$A$6:$D$110,4,FALSE),""))</x:f>
      </x:c>
      <x:c r="I183" s="25"/>
      <x:c r="J183" s="24" t="str">
        <x:f>IF(OR(G183="",I183=""),"",G183*I183)</x:f>
      </x:c>
      <x:c r="K183" s="20"/>
      <x:c r="L183" s="20"/>
    </x:row>
    <x:row r="184" ht="22" customHeight="1">
      <x:c r="A184" s="20"/>
      <x:c r="B184" s="22"/>
      <x:c r="C184" s="20"/>
      <x:c r="D184" t="str">
        <x:f>IF(C184="","",IFERROR(VLOOKUP(C184,Customers!$A$6:$B$155,2,FALSE),"INVALID CUSTOMER ID"))</x:f>
      </x:c>
      <x:c r="E184" s="20"/>
      <x:c r="F184" t="str">
        <x:f>IF(E184="","",IFERROR(VLOOKUP(E184,Products!$A$6:$B$110,2,FALSE),"INVALID SKU"))</x:f>
      </x:c>
      <x:c r="G184" s="20"/>
      <x:c r="H184" s="24" t="str">
        <x:f>IF(E184="","",IFERROR(VLOOKUP(E184,Products!$A$6:$D$110,4,FALSE),""))</x:f>
      </x:c>
      <x:c r="I184" s="25"/>
      <x:c r="J184" s="24" t="str">
        <x:f>IF(OR(G184="",I184=""),"",G184*I184)</x:f>
      </x:c>
      <x:c r="K184" s="20"/>
      <x:c r="L184" s="20"/>
    </x:row>
    <x:row r="185" ht="22" customHeight="1">
      <x:c r="A185" s="20"/>
      <x:c r="B185" s="22"/>
      <x:c r="C185" s="20"/>
      <x:c r="D185" t="str">
        <x:f>IF(C185="","",IFERROR(VLOOKUP(C185,Customers!$A$6:$B$155,2,FALSE),"INVALID CUSTOMER ID"))</x:f>
      </x:c>
      <x:c r="E185" s="20"/>
      <x:c r="F185" t="str">
        <x:f>IF(E185="","",IFERROR(VLOOKUP(E185,Products!$A$6:$B$110,2,FALSE),"INVALID SKU"))</x:f>
      </x:c>
      <x:c r="G185" s="20"/>
      <x:c r="H185" s="24" t="str">
        <x:f>IF(E185="","",IFERROR(VLOOKUP(E185,Products!$A$6:$D$110,4,FALSE),""))</x:f>
      </x:c>
      <x:c r="I185" s="25"/>
      <x:c r="J185" s="24" t="str">
        <x:f>IF(OR(G185="",I185=""),"",G185*I185)</x:f>
      </x:c>
      <x:c r="K185" s="20"/>
      <x:c r="L185" s="20"/>
    </x:row>
    <x:row r="186" ht="22" customHeight="1">
      <x:c r="A186" s="20"/>
      <x:c r="B186" s="22"/>
      <x:c r="C186" s="20"/>
      <x:c r="D186" t="str">
        <x:f>IF(C186="","",IFERROR(VLOOKUP(C186,Customers!$A$6:$B$155,2,FALSE),"INVALID CUSTOMER ID"))</x:f>
      </x:c>
      <x:c r="E186" s="20"/>
      <x:c r="F186" t="str">
        <x:f>IF(E186="","",IFERROR(VLOOKUP(E186,Products!$A$6:$B$110,2,FALSE),"INVALID SKU"))</x:f>
      </x:c>
      <x:c r="G186" s="20"/>
      <x:c r="H186" s="24" t="str">
        <x:f>IF(E186="","",IFERROR(VLOOKUP(E186,Products!$A$6:$D$110,4,FALSE),""))</x:f>
      </x:c>
      <x:c r="I186" s="25"/>
      <x:c r="J186" s="24" t="str">
        <x:f>IF(OR(G186="",I186=""),"",G186*I186)</x:f>
      </x:c>
      <x:c r="K186" s="20"/>
      <x:c r="L186" s="20"/>
    </x:row>
    <x:row r="187" ht="22" customHeight="1">
      <x:c r="A187" s="20"/>
      <x:c r="B187" s="22"/>
      <x:c r="C187" s="20"/>
      <x:c r="D187" t="str">
        <x:f>IF(C187="","",IFERROR(VLOOKUP(C187,Customers!$A$6:$B$155,2,FALSE),"INVALID CUSTOMER ID"))</x:f>
      </x:c>
      <x:c r="E187" s="20"/>
      <x:c r="F187" t="str">
        <x:f>IF(E187="","",IFERROR(VLOOKUP(E187,Products!$A$6:$B$110,2,FALSE),"INVALID SKU"))</x:f>
      </x:c>
      <x:c r="G187" s="20"/>
      <x:c r="H187" s="24" t="str">
        <x:f>IF(E187="","",IFERROR(VLOOKUP(E187,Products!$A$6:$D$110,4,FALSE),""))</x:f>
      </x:c>
      <x:c r="I187" s="25"/>
      <x:c r="J187" s="24" t="str">
        <x:f>IF(OR(G187="",I187=""),"",G187*I187)</x:f>
      </x:c>
      <x:c r="K187" s="20"/>
      <x:c r="L187" s="20"/>
    </x:row>
    <x:row r="188" ht="22" customHeight="1">
      <x:c r="A188" s="20"/>
      <x:c r="B188" s="22"/>
      <x:c r="C188" s="20"/>
      <x:c r="D188" t="str">
        <x:f>IF(C188="","",IFERROR(VLOOKUP(C188,Customers!$A$6:$B$155,2,FALSE),"INVALID CUSTOMER ID"))</x:f>
      </x:c>
      <x:c r="E188" s="20"/>
      <x:c r="F188" t="str">
        <x:f>IF(E188="","",IFERROR(VLOOKUP(E188,Products!$A$6:$B$110,2,FALSE),"INVALID SKU"))</x:f>
      </x:c>
      <x:c r="G188" s="20"/>
      <x:c r="H188" s="24" t="str">
        <x:f>IF(E188="","",IFERROR(VLOOKUP(E188,Products!$A$6:$D$110,4,FALSE),""))</x:f>
      </x:c>
      <x:c r="I188" s="25"/>
      <x:c r="J188" s="24" t="str">
        <x:f>IF(OR(G188="",I188=""),"",G188*I188)</x:f>
      </x:c>
      <x:c r="K188" s="20"/>
      <x:c r="L188" s="20"/>
    </x:row>
    <x:row r="189" ht="22" customHeight="1">
      <x:c r="A189" s="20"/>
      <x:c r="B189" s="22"/>
      <x:c r="C189" s="20"/>
      <x:c r="D189" t="str">
        <x:f>IF(C189="","",IFERROR(VLOOKUP(C189,Customers!$A$6:$B$155,2,FALSE),"INVALID CUSTOMER ID"))</x:f>
      </x:c>
      <x:c r="E189" s="20"/>
      <x:c r="F189" t="str">
        <x:f>IF(E189="","",IFERROR(VLOOKUP(E189,Products!$A$6:$B$110,2,FALSE),"INVALID SKU"))</x:f>
      </x:c>
      <x:c r="G189" s="20"/>
      <x:c r="H189" s="24" t="str">
        <x:f>IF(E189="","",IFERROR(VLOOKUP(E189,Products!$A$6:$D$110,4,FALSE),""))</x:f>
      </x:c>
      <x:c r="I189" s="25"/>
      <x:c r="J189" s="24" t="str">
        <x:f>IF(OR(G189="",I189=""),"",G189*I189)</x:f>
      </x:c>
      <x:c r="K189" s="20"/>
      <x:c r="L189" s="20"/>
    </x:row>
    <x:row r="190" ht="22" customHeight="1">
      <x:c r="A190" s="20"/>
      <x:c r="B190" s="22"/>
      <x:c r="C190" s="20"/>
      <x:c r="D190" t="str">
        <x:f>IF(C190="","",IFERROR(VLOOKUP(C190,Customers!$A$6:$B$155,2,FALSE),"INVALID CUSTOMER ID"))</x:f>
      </x:c>
      <x:c r="E190" s="20"/>
      <x:c r="F190" t="str">
        <x:f>IF(E190="","",IFERROR(VLOOKUP(E190,Products!$A$6:$B$110,2,FALSE),"INVALID SKU"))</x:f>
      </x:c>
      <x:c r="G190" s="20"/>
      <x:c r="H190" s="24" t="str">
        <x:f>IF(E190="","",IFERROR(VLOOKUP(E190,Products!$A$6:$D$110,4,FALSE),""))</x:f>
      </x:c>
      <x:c r="I190" s="25"/>
      <x:c r="J190" s="24" t="str">
        <x:f>IF(OR(G190="",I190=""),"",G190*I190)</x:f>
      </x:c>
      <x:c r="K190" s="20"/>
      <x:c r="L190" s="20"/>
    </x:row>
    <x:row r="191" ht="22" customHeight="1">
      <x:c r="A191" s="20"/>
      <x:c r="B191" s="22"/>
      <x:c r="C191" s="20"/>
      <x:c r="D191" t="str">
        <x:f>IF(C191="","",IFERROR(VLOOKUP(C191,Customers!$A$6:$B$155,2,FALSE),"INVALID CUSTOMER ID"))</x:f>
      </x:c>
      <x:c r="E191" s="20"/>
      <x:c r="F191" t="str">
        <x:f>IF(E191="","",IFERROR(VLOOKUP(E191,Products!$A$6:$B$110,2,FALSE),"INVALID SKU"))</x:f>
      </x:c>
      <x:c r="G191" s="20"/>
      <x:c r="H191" s="24" t="str">
        <x:f>IF(E191="","",IFERROR(VLOOKUP(E191,Products!$A$6:$D$110,4,FALSE),""))</x:f>
      </x:c>
      <x:c r="I191" s="25"/>
      <x:c r="J191" s="24" t="str">
        <x:f>IF(OR(G191="",I191=""),"",G191*I191)</x:f>
      </x:c>
      <x:c r="K191" s="20"/>
      <x:c r="L191" s="20"/>
    </x:row>
    <x:row r="192" ht="22" customHeight="1">
      <x:c r="A192" s="20"/>
      <x:c r="B192" s="22"/>
      <x:c r="C192" s="20"/>
      <x:c r="D192" t="str">
        <x:f>IF(C192="","",IFERROR(VLOOKUP(C192,Customers!$A$6:$B$155,2,FALSE),"INVALID CUSTOMER ID"))</x:f>
      </x:c>
      <x:c r="E192" s="20"/>
      <x:c r="F192" t="str">
        <x:f>IF(E192="","",IFERROR(VLOOKUP(E192,Products!$A$6:$B$110,2,FALSE),"INVALID SKU"))</x:f>
      </x:c>
      <x:c r="G192" s="20"/>
      <x:c r="H192" s="24" t="str">
        <x:f>IF(E192="","",IFERROR(VLOOKUP(E192,Products!$A$6:$D$110,4,FALSE),""))</x:f>
      </x:c>
      <x:c r="I192" s="25"/>
      <x:c r="J192" s="24" t="str">
        <x:f>IF(OR(G192="",I192=""),"",G192*I192)</x:f>
      </x:c>
      <x:c r="K192" s="20"/>
      <x:c r="L192" s="20"/>
    </x:row>
    <x:row r="193" ht="22" customHeight="1">
      <x:c r="A193" s="20"/>
      <x:c r="B193" s="22"/>
      <x:c r="C193" s="20"/>
      <x:c r="D193" t="str">
        <x:f>IF(C193="","",IFERROR(VLOOKUP(C193,Customers!$A$6:$B$155,2,FALSE),"INVALID CUSTOMER ID"))</x:f>
      </x:c>
      <x:c r="E193" s="20"/>
      <x:c r="F193" t="str">
        <x:f>IF(E193="","",IFERROR(VLOOKUP(E193,Products!$A$6:$B$110,2,FALSE),"INVALID SKU"))</x:f>
      </x:c>
      <x:c r="G193" s="20"/>
      <x:c r="H193" s="24" t="str">
        <x:f>IF(E193="","",IFERROR(VLOOKUP(E193,Products!$A$6:$D$110,4,FALSE),""))</x:f>
      </x:c>
      <x:c r="I193" s="25"/>
      <x:c r="J193" s="24" t="str">
        <x:f>IF(OR(G193="",I193=""),"",G193*I193)</x:f>
      </x:c>
      <x:c r="K193" s="20"/>
      <x:c r="L193" s="20"/>
    </x:row>
    <x:row r="194" ht="22" customHeight="1">
      <x:c r="A194" s="20"/>
      <x:c r="B194" s="22"/>
      <x:c r="C194" s="20"/>
      <x:c r="D194" t="str">
        <x:f>IF(C194="","",IFERROR(VLOOKUP(C194,Customers!$A$6:$B$155,2,FALSE),"INVALID CUSTOMER ID"))</x:f>
      </x:c>
      <x:c r="E194" s="20"/>
      <x:c r="F194" t="str">
        <x:f>IF(E194="","",IFERROR(VLOOKUP(E194,Products!$A$6:$B$110,2,FALSE),"INVALID SKU"))</x:f>
      </x:c>
      <x:c r="G194" s="20"/>
      <x:c r="H194" s="24" t="str">
        <x:f>IF(E194="","",IFERROR(VLOOKUP(E194,Products!$A$6:$D$110,4,FALSE),""))</x:f>
      </x:c>
      <x:c r="I194" s="25"/>
      <x:c r="J194" s="24" t="str">
        <x:f>IF(OR(G194="",I194=""),"",G194*I194)</x:f>
      </x:c>
      <x:c r="K194" s="20"/>
      <x:c r="L194" s="20"/>
    </x:row>
    <x:row r="195" ht="22" customHeight="1">
      <x:c r="A195" s="20"/>
      <x:c r="B195" s="22"/>
      <x:c r="C195" s="20"/>
      <x:c r="D195" t="str">
        <x:f>IF(C195="","",IFERROR(VLOOKUP(C195,Customers!$A$6:$B$155,2,FALSE),"INVALID CUSTOMER ID"))</x:f>
      </x:c>
      <x:c r="E195" s="20"/>
      <x:c r="F195" t="str">
        <x:f>IF(E195="","",IFERROR(VLOOKUP(E195,Products!$A$6:$B$110,2,FALSE),"INVALID SKU"))</x:f>
      </x:c>
      <x:c r="G195" s="20"/>
      <x:c r="H195" s="24" t="str">
        <x:f>IF(E195="","",IFERROR(VLOOKUP(E195,Products!$A$6:$D$110,4,FALSE),""))</x:f>
      </x:c>
      <x:c r="I195" s="25"/>
      <x:c r="J195" s="24" t="str">
        <x:f>IF(OR(G195="",I195=""),"",G195*I195)</x:f>
      </x:c>
      <x:c r="K195" s="20"/>
      <x:c r="L195" s="20"/>
    </x:row>
    <x:row r="196" ht="22" customHeight="1">
      <x:c r="A196" s="20"/>
      <x:c r="B196" s="22"/>
      <x:c r="C196" s="20"/>
      <x:c r="D196" t="str">
        <x:f>IF(C196="","",IFERROR(VLOOKUP(C196,Customers!$A$6:$B$155,2,FALSE),"INVALID CUSTOMER ID"))</x:f>
      </x:c>
      <x:c r="E196" s="20"/>
      <x:c r="F196" t="str">
        <x:f>IF(E196="","",IFERROR(VLOOKUP(E196,Products!$A$6:$B$110,2,FALSE),"INVALID SKU"))</x:f>
      </x:c>
      <x:c r="G196" s="20"/>
      <x:c r="H196" s="24" t="str">
        <x:f>IF(E196="","",IFERROR(VLOOKUP(E196,Products!$A$6:$D$110,4,FALSE),""))</x:f>
      </x:c>
      <x:c r="I196" s="25"/>
      <x:c r="J196" s="24" t="str">
        <x:f>IF(OR(G196="",I196=""),"",G196*I196)</x:f>
      </x:c>
      <x:c r="K196" s="20"/>
      <x:c r="L196" s="20"/>
    </x:row>
    <x:row r="197" ht="22" customHeight="1">
      <x:c r="A197" s="20"/>
      <x:c r="B197" s="22"/>
      <x:c r="C197" s="20"/>
      <x:c r="D197" t="str">
        <x:f>IF(C197="","",IFERROR(VLOOKUP(C197,Customers!$A$6:$B$155,2,FALSE),"INVALID CUSTOMER ID"))</x:f>
      </x:c>
      <x:c r="E197" s="20"/>
      <x:c r="F197" t="str">
        <x:f>IF(E197="","",IFERROR(VLOOKUP(E197,Products!$A$6:$B$110,2,FALSE),"INVALID SKU"))</x:f>
      </x:c>
      <x:c r="G197" s="20"/>
      <x:c r="H197" s="24" t="str">
        <x:f>IF(E197="","",IFERROR(VLOOKUP(E197,Products!$A$6:$D$110,4,FALSE),""))</x:f>
      </x:c>
      <x:c r="I197" s="25"/>
      <x:c r="J197" s="24" t="str">
        <x:f>IF(OR(G197="",I197=""),"",G197*I197)</x:f>
      </x:c>
      <x:c r="K197" s="20"/>
      <x:c r="L197" s="20"/>
    </x:row>
    <x:row r="198" ht="22" customHeight="1">
      <x:c r="A198" s="20"/>
      <x:c r="B198" s="22"/>
      <x:c r="C198" s="20"/>
      <x:c r="D198" t="str">
        <x:f>IF(C198="","",IFERROR(VLOOKUP(C198,Customers!$A$6:$B$155,2,FALSE),"INVALID CUSTOMER ID"))</x:f>
      </x:c>
      <x:c r="E198" s="20"/>
      <x:c r="F198" t="str">
        <x:f>IF(E198="","",IFERROR(VLOOKUP(E198,Products!$A$6:$B$110,2,FALSE),"INVALID SKU"))</x:f>
      </x:c>
      <x:c r="G198" s="20"/>
      <x:c r="H198" s="24" t="str">
        <x:f>IF(E198="","",IFERROR(VLOOKUP(E198,Products!$A$6:$D$110,4,FALSE),""))</x:f>
      </x:c>
      <x:c r="I198" s="25"/>
      <x:c r="J198" s="24" t="str">
        <x:f>IF(OR(G198="",I198=""),"",G198*I198)</x:f>
      </x:c>
      <x:c r="K198" s="20"/>
      <x:c r="L198" s="20"/>
    </x:row>
    <x:row r="199" ht="22" customHeight="1">
      <x:c r="A199" s="20"/>
      <x:c r="B199" s="22"/>
      <x:c r="C199" s="20"/>
      <x:c r="D199" t="str">
        <x:f>IF(C199="","",IFERROR(VLOOKUP(C199,Customers!$A$6:$B$155,2,FALSE),"INVALID CUSTOMER ID"))</x:f>
      </x:c>
      <x:c r="E199" s="20"/>
      <x:c r="F199" t="str">
        <x:f>IF(E199="","",IFERROR(VLOOKUP(E199,Products!$A$6:$B$110,2,FALSE),"INVALID SKU"))</x:f>
      </x:c>
      <x:c r="G199" s="20"/>
      <x:c r="H199" s="24" t="str">
        <x:f>IF(E199="","",IFERROR(VLOOKUP(E199,Products!$A$6:$D$110,4,FALSE),""))</x:f>
      </x:c>
      <x:c r="I199" s="25"/>
      <x:c r="J199" s="24" t="str">
        <x:f>IF(OR(G199="",I199=""),"",G199*I199)</x:f>
      </x:c>
      <x:c r="K199" s="20"/>
      <x:c r="L199" s="20"/>
    </x:row>
    <x:row r="200" ht="22" customHeight="1">
      <x:c r="A200" s="20"/>
      <x:c r="B200" s="22"/>
      <x:c r="C200" s="20"/>
      <x:c r="D200" t="str">
        <x:f>IF(C200="","",IFERROR(VLOOKUP(C200,Customers!$A$6:$B$155,2,FALSE),"INVALID CUSTOMER ID"))</x:f>
      </x:c>
      <x:c r="E200" s="20"/>
      <x:c r="F200" t="str">
        <x:f>IF(E200="","",IFERROR(VLOOKUP(E200,Products!$A$6:$B$110,2,FALSE),"INVALID SKU"))</x:f>
      </x:c>
      <x:c r="G200" s="20"/>
      <x:c r="H200" s="24" t="str">
        <x:f>IF(E200="","",IFERROR(VLOOKUP(E200,Products!$A$6:$D$110,4,FALSE),""))</x:f>
      </x:c>
      <x:c r="I200" s="25"/>
      <x:c r="J200" s="24" t="str">
        <x:f>IF(OR(G200="",I200=""),"",G200*I200)</x:f>
      </x:c>
      <x:c r="K200" s="20"/>
      <x:c r="L200" s="20"/>
    </x:row>
    <x:row r="201" ht="22" customHeight="1">
      <x:c r="A201" s="20"/>
      <x:c r="B201" s="22"/>
      <x:c r="C201" s="20"/>
      <x:c r="D201" t="str">
        <x:f>IF(C201="","",IFERROR(VLOOKUP(C201,Customers!$A$6:$B$155,2,FALSE),"INVALID CUSTOMER ID"))</x:f>
      </x:c>
      <x:c r="E201" s="20"/>
      <x:c r="F201" t="str">
        <x:f>IF(E201="","",IFERROR(VLOOKUP(E201,Products!$A$6:$B$110,2,FALSE),"INVALID SKU"))</x:f>
      </x:c>
      <x:c r="G201" s="20"/>
      <x:c r="H201" s="24" t="str">
        <x:f>IF(E201="","",IFERROR(VLOOKUP(E201,Products!$A$6:$D$110,4,FALSE),""))</x:f>
      </x:c>
      <x:c r="I201" s="25"/>
      <x:c r="J201" s="24" t="str">
        <x:f>IF(OR(G201="",I201=""),"",G201*I201)</x:f>
      </x:c>
      <x:c r="K201" s="20"/>
      <x:c r="L201" s="20"/>
    </x:row>
    <x:row r="202" ht="22" customHeight="1">
      <x:c r="A202" s="20"/>
      <x:c r="B202" s="22"/>
      <x:c r="C202" s="20"/>
      <x:c r="D202" t="str">
        <x:f>IF(C202="","",IFERROR(VLOOKUP(C202,Customers!$A$6:$B$155,2,FALSE),"INVALID CUSTOMER ID"))</x:f>
      </x:c>
      <x:c r="E202" s="20"/>
      <x:c r="F202" t="str">
        <x:f>IF(E202="","",IFERROR(VLOOKUP(E202,Products!$A$6:$B$110,2,FALSE),"INVALID SKU"))</x:f>
      </x:c>
      <x:c r="G202" s="20"/>
      <x:c r="H202" s="24" t="str">
        <x:f>IF(E202="","",IFERROR(VLOOKUP(E202,Products!$A$6:$D$110,4,FALSE),""))</x:f>
      </x:c>
      <x:c r="I202" s="25"/>
      <x:c r="J202" s="24" t="str">
        <x:f>IF(OR(G202="",I202=""),"",G202*I202)</x:f>
      </x:c>
      <x:c r="K202" s="20"/>
      <x:c r="L202" s="20"/>
    </x:row>
    <x:row r="203" ht="22" customHeight="1">
      <x:c r="A203" s="20"/>
      <x:c r="B203" s="22"/>
      <x:c r="C203" s="20"/>
      <x:c r="D203" t="str">
        <x:f>IF(C203="","",IFERROR(VLOOKUP(C203,Customers!$A$6:$B$155,2,FALSE),"INVALID CUSTOMER ID"))</x:f>
      </x:c>
      <x:c r="E203" s="20"/>
      <x:c r="F203" t="str">
        <x:f>IF(E203="","",IFERROR(VLOOKUP(E203,Products!$A$6:$B$110,2,FALSE),"INVALID SKU"))</x:f>
      </x:c>
      <x:c r="G203" s="20"/>
      <x:c r="H203" s="24" t="str">
        <x:f>IF(E203="","",IFERROR(VLOOKUP(E203,Products!$A$6:$D$110,4,FALSE),""))</x:f>
      </x:c>
      <x:c r="I203" s="25"/>
      <x:c r="J203" s="24" t="str">
        <x:f>IF(OR(G203="",I203=""),"",G203*I203)</x:f>
      </x:c>
      <x:c r="K203" s="20"/>
      <x:c r="L203" s="20"/>
    </x:row>
    <x:row r="204" ht="22" customHeight="1">
      <x:c r="A204" s="20"/>
      <x:c r="B204" s="22"/>
      <x:c r="C204" s="20"/>
      <x:c r="D204" t="str">
        <x:f>IF(C204="","",IFERROR(VLOOKUP(C204,Customers!$A$6:$B$155,2,FALSE),"INVALID CUSTOMER ID"))</x:f>
      </x:c>
      <x:c r="E204" s="20"/>
      <x:c r="F204" t="str">
        <x:f>IF(E204="","",IFERROR(VLOOKUP(E204,Products!$A$6:$B$110,2,FALSE),"INVALID SKU"))</x:f>
      </x:c>
      <x:c r="G204" s="20"/>
      <x:c r="H204" s="24" t="str">
        <x:f>IF(E204="","",IFERROR(VLOOKUP(E204,Products!$A$6:$D$110,4,FALSE),""))</x:f>
      </x:c>
      <x:c r="I204" s="25"/>
      <x:c r="J204" s="24" t="str">
        <x:f>IF(OR(G204="",I204=""),"",G204*I204)</x:f>
      </x:c>
      <x:c r="K204" s="20"/>
      <x:c r="L204" s="20"/>
    </x:row>
    <x:row r="205" ht="22" customHeight="1">
      <x:c r="A205" s="20"/>
      <x:c r="B205" s="22"/>
      <x:c r="C205" s="20"/>
      <x:c r="D205" t="str">
        <x:f>IF(C205="","",IFERROR(VLOOKUP(C205,Customers!$A$6:$B$155,2,FALSE),"INVALID CUSTOMER ID"))</x:f>
      </x:c>
      <x:c r="E205" s="20"/>
      <x:c r="F205" t="str">
        <x:f>IF(E205="","",IFERROR(VLOOKUP(E205,Products!$A$6:$B$110,2,FALSE),"INVALID SKU"))</x:f>
      </x:c>
      <x:c r="G205" s="20"/>
      <x:c r="H205" s="24" t="str">
        <x:f>IF(E205="","",IFERROR(VLOOKUP(E205,Products!$A$6:$D$110,4,FALSE),""))</x:f>
      </x:c>
      <x:c r="I205" s="25"/>
      <x:c r="J205" s="24" t="str">
        <x:f>IF(OR(G205="",I205=""),"",G205*I205)</x:f>
      </x:c>
      <x:c r="K205" s="20"/>
      <x:c r="L205" s="20"/>
    </x:row>
    <x:row r="206" ht="22" customHeight="1">
      <x:c r="A206" s="20"/>
      <x:c r="B206" s="22"/>
      <x:c r="C206" s="20"/>
      <x:c r="D206" t="str">
        <x:f>IF(C206="","",IFERROR(VLOOKUP(C206,Customers!$A$6:$B$155,2,FALSE),"INVALID CUSTOMER ID"))</x:f>
      </x:c>
      <x:c r="E206" s="20"/>
      <x:c r="F206" t="str">
        <x:f>IF(E206="","",IFERROR(VLOOKUP(E206,Products!$A$6:$B$110,2,FALSE),"INVALID SKU"))</x:f>
      </x:c>
      <x:c r="G206" s="20"/>
      <x:c r="H206" s="24" t="str">
        <x:f>IF(E206="","",IFERROR(VLOOKUP(E206,Products!$A$6:$D$110,4,FALSE),""))</x:f>
      </x:c>
      <x:c r="I206" s="25"/>
      <x:c r="J206" s="24" t="str">
        <x:f>IF(OR(G206="",I206=""),"",G206*I206)</x:f>
      </x:c>
      <x:c r="K206" s="20"/>
      <x:c r="L206" s="20"/>
    </x:row>
    <x:row r="207" ht="22" customHeight="1">
      <x:c r="A207" s="20"/>
      <x:c r="B207" s="22"/>
      <x:c r="C207" s="20"/>
      <x:c r="D207" t="str">
        <x:f>IF(C207="","",IFERROR(VLOOKUP(C207,Customers!$A$6:$B$155,2,FALSE),"INVALID CUSTOMER ID"))</x:f>
      </x:c>
      <x:c r="E207" s="20"/>
      <x:c r="F207" t="str">
        <x:f>IF(E207="","",IFERROR(VLOOKUP(E207,Products!$A$6:$B$110,2,FALSE),"INVALID SKU"))</x:f>
      </x:c>
      <x:c r="G207" s="20"/>
      <x:c r="H207" s="24" t="str">
        <x:f>IF(E207="","",IFERROR(VLOOKUP(E207,Products!$A$6:$D$110,4,FALSE),""))</x:f>
      </x:c>
      <x:c r="I207" s="25"/>
      <x:c r="J207" s="24" t="str">
        <x:f>IF(OR(G207="",I207=""),"",G207*I207)</x:f>
      </x:c>
      <x:c r="K207" s="20"/>
      <x:c r="L207" s="20"/>
    </x:row>
    <x:row r="208" ht="22" customHeight="1">
      <x:c r="A208" s="20"/>
      <x:c r="B208" s="22"/>
      <x:c r="C208" s="20"/>
      <x:c r="D208" t="str">
        <x:f>IF(C208="","",IFERROR(VLOOKUP(C208,Customers!$A$6:$B$155,2,FALSE),"INVALID CUSTOMER ID"))</x:f>
      </x:c>
      <x:c r="E208" s="20"/>
      <x:c r="F208" t="str">
        <x:f>IF(E208="","",IFERROR(VLOOKUP(E208,Products!$A$6:$B$110,2,FALSE),"INVALID SKU"))</x:f>
      </x:c>
      <x:c r="G208" s="20"/>
      <x:c r="H208" s="24" t="str">
        <x:f>IF(E208="","",IFERROR(VLOOKUP(E208,Products!$A$6:$D$110,4,FALSE),""))</x:f>
      </x:c>
      <x:c r="I208" s="25"/>
      <x:c r="J208" s="24" t="str">
        <x:f>IF(OR(G208="",I208=""),"",G208*I208)</x:f>
      </x:c>
      <x:c r="K208" s="20"/>
      <x:c r="L208" s="20"/>
    </x:row>
    <x:row r="209" ht="22" customHeight="1">
      <x:c r="A209" s="20"/>
      <x:c r="B209" s="22"/>
      <x:c r="C209" s="20"/>
      <x:c r="D209" t="str">
        <x:f>IF(C209="","",IFERROR(VLOOKUP(C209,Customers!$A$6:$B$155,2,FALSE),"INVALID CUSTOMER ID"))</x:f>
      </x:c>
      <x:c r="E209" s="20"/>
      <x:c r="F209" t="str">
        <x:f>IF(E209="","",IFERROR(VLOOKUP(E209,Products!$A$6:$B$110,2,FALSE),"INVALID SKU"))</x:f>
      </x:c>
      <x:c r="G209" s="20"/>
      <x:c r="H209" s="24" t="str">
        <x:f>IF(E209="","",IFERROR(VLOOKUP(E209,Products!$A$6:$D$110,4,FALSE),""))</x:f>
      </x:c>
      <x:c r="I209" s="25"/>
      <x:c r="J209" s="24" t="str">
        <x:f>IF(OR(G209="",I209=""),"",G209*I209)</x:f>
      </x:c>
      <x:c r="K209" s="20"/>
      <x:c r="L209" s="20"/>
    </x:row>
    <x:row r="210" ht="22" customHeight="1">
      <x:c r="A210" s="20"/>
      <x:c r="B210" s="22"/>
      <x:c r="C210" s="20"/>
      <x:c r="D210" t="str">
        <x:f>IF(C210="","",IFERROR(VLOOKUP(C210,Customers!$A$6:$B$155,2,FALSE),"INVALID CUSTOMER ID"))</x:f>
      </x:c>
      <x:c r="E210" s="20"/>
      <x:c r="F210" t="str">
        <x:f>IF(E210="","",IFERROR(VLOOKUP(E210,Products!$A$6:$B$110,2,FALSE),"INVALID SKU"))</x:f>
      </x:c>
      <x:c r="G210" s="20"/>
      <x:c r="H210" s="24" t="str">
        <x:f>IF(E210="","",IFERROR(VLOOKUP(E210,Products!$A$6:$D$110,4,FALSE),""))</x:f>
      </x:c>
      <x:c r="I210" s="25"/>
      <x:c r="J210" s="24" t="str">
        <x:f>IF(OR(G210="",I210=""),"",G210*I210)</x:f>
      </x:c>
      <x:c r="K210" s="20"/>
      <x:c r="L210" s="20"/>
    </x:row>
    <x:row r="211" ht="22" customHeight="1">
      <x:c r="A211" s="20"/>
      <x:c r="B211" s="22"/>
      <x:c r="C211" s="20"/>
      <x:c r="D211" t="str">
        <x:f>IF(C211="","",IFERROR(VLOOKUP(C211,Customers!$A$6:$B$155,2,FALSE),"INVALID CUSTOMER ID"))</x:f>
      </x:c>
      <x:c r="E211" s="20"/>
      <x:c r="F211" t="str">
        <x:f>IF(E211="","",IFERROR(VLOOKUP(E211,Products!$A$6:$B$110,2,FALSE),"INVALID SKU"))</x:f>
      </x:c>
      <x:c r="G211" s="20"/>
      <x:c r="H211" s="24" t="str">
        <x:f>IF(E211="","",IFERROR(VLOOKUP(E211,Products!$A$6:$D$110,4,FALSE),""))</x:f>
      </x:c>
      <x:c r="I211" s="25"/>
      <x:c r="J211" s="24" t="str">
        <x:f>IF(OR(G211="",I211=""),"",G211*I211)</x:f>
      </x:c>
      <x:c r="K211" s="20"/>
      <x:c r="L211" s="20"/>
    </x:row>
    <x:row r="212" ht="22" customHeight="1">
      <x:c r="A212" s="20"/>
      <x:c r="B212" s="22"/>
      <x:c r="C212" s="20"/>
      <x:c r="D212" t="str">
        <x:f>IF(C212="","",IFERROR(VLOOKUP(C212,Customers!$A$6:$B$155,2,FALSE),"INVALID CUSTOMER ID"))</x:f>
      </x:c>
      <x:c r="E212" s="20"/>
      <x:c r="F212" t="str">
        <x:f>IF(E212="","",IFERROR(VLOOKUP(E212,Products!$A$6:$B$110,2,FALSE),"INVALID SKU"))</x:f>
      </x:c>
      <x:c r="G212" s="20"/>
      <x:c r="H212" s="24" t="str">
        <x:f>IF(E212="","",IFERROR(VLOOKUP(E212,Products!$A$6:$D$110,4,FALSE),""))</x:f>
      </x:c>
      <x:c r="I212" s="25"/>
      <x:c r="J212" s="24" t="str">
        <x:f>IF(OR(G212="",I212=""),"",G212*I212)</x:f>
      </x:c>
      <x:c r="K212" s="20"/>
      <x:c r="L212" s="20"/>
    </x:row>
    <x:row r="213" ht="22" customHeight="1">
      <x:c r="A213" s="20"/>
      <x:c r="B213" s="22"/>
      <x:c r="C213" s="20"/>
      <x:c r="D213" t="str">
        <x:f>IF(C213="","",IFERROR(VLOOKUP(C213,Customers!$A$6:$B$155,2,FALSE),"INVALID CUSTOMER ID"))</x:f>
      </x:c>
      <x:c r="E213" s="20"/>
      <x:c r="F213" t="str">
        <x:f>IF(E213="","",IFERROR(VLOOKUP(E213,Products!$A$6:$B$110,2,FALSE),"INVALID SKU"))</x:f>
      </x:c>
      <x:c r="G213" s="20"/>
      <x:c r="H213" s="24" t="str">
        <x:f>IF(E213="","",IFERROR(VLOOKUP(E213,Products!$A$6:$D$110,4,FALSE),""))</x:f>
      </x:c>
      <x:c r="I213" s="25"/>
      <x:c r="J213" s="24" t="str">
        <x:f>IF(OR(G213="",I213=""),"",G213*I213)</x:f>
      </x:c>
      <x:c r="K213" s="20"/>
      <x:c r="L213" s="20"/>
    </x:row>
    <x:row r="214" ht="22" customHeight="1">
      <x:c r="A214" s="20"/>
      <x:c r="B214" s="22"/>
      <x:c r="C214" s="20"/>
      <x:c r="D214" t="str">
        <x:f>IF(C214="","",IFERROR(VLOOKUP(C214,Customers!$A$6:$B$155,2,FALSE),"INVALID CUSTOMER ID"))</x:f>
      </x:c>
      <x:c r="E214" s="20"/>
      <x:c r="F214" t="str">
        <x:f>IF(E214="","",IFERROR(VLOOKUP(E214,Products!$A$6:$B$110,2,FALSE),"INVALID SKU"))</x:f>
      </x:c>
      <x:c r="G214" s="20"/>
      <x:c r="H214" s="24" t="str">
        <x:f>IF(E214="","",IFERROR(VLOOKUP(E214,Products!$A$6:$D$110,4,FALSE),""))</x:f>
      </x:c>
      <x:c r="I214" s="25"/>
      <x:c r="J214" s="24" t="str">
        <x:f>IF(OR(G214="",I214=""),"",G214*I214)</x:f>
      </x:c>
      <x:c r="K214" s="20"/>
      <x:c r="L214" s="20"/>
    </x:row>
    <x:row r="215" ht="22" customHeight="1">
      <x:c r="A215" s="20"/>
      <x:c r="B215" s="22"/>
      <x:c r="C215" s="20"/>
      <x:c r="D215" t="str">
        <x:f>IF(C215="","",IFERROR(VLOOKUP(C215,Customers!$A$6:$B$155,2,FALSE),"INVALID CUSTOMER ID"))</x:f>
      </x:c>
      <x:c r="E215" s="20"/>
      <x:c r="F215" t="str">
        <x:f>IF(E215="","",IFERROR(VLOOKUP(E215,Products!$A$6:$B$110,2,FALSE),"INVALID SKU"))</x:f>
      </x:c>
      <x:c r="G215" s="20"/>
      <x:c r="H215" s="24" t="str">
        <x:f>IF(E215="","",IFERROR(VLOOKUP(E215,Products!$A$6:$D$110,4,FALSE),""))</x:f>
      </x:c>
      <x:c r="I215" s="25"/>
      <x:c r="J215" s="24" t="str">
        <x:f>IF(OR(G215="",I215=""),"",G215*I215)</x:f>
      </x:c>
      <x:c r="K215" s="20"/>
      <x:c r="L215" s="20"/>
    </x:row>
    <x:row r="216" ht="22" customHeight="1">
      <x:c r="A216" s="20"/>
      <x:c r="B216" s="22"/>
      <x:c r="C216" s="20"/>
      <x:c r="D216" t="str">
        <x:f>IF(C216="","",IFERROR(VLOOKUP(C216,Customers!$A$6:$B$155,2,FALSE),"INVALID CUSTOMER ID"))</x:f>
      </x:c>
      <x:c r="E216" s="20"/>
      <x:c r="F216" t="str">
        <x:f>IF(E216="","",IFERROR(VLOOKUP(E216,Products!$A$6:$B$110,2,FALSE),"INVALID SKU"))</x:f>
      </x:c>
      <x:c r="G216" s="20"/>
      <x:c r="H216" s="24" t="str">
        <x:f>IF(E216="","",IFERROR(VLOOKUP(E216,Products!$A$6:$D$110,4,FALSE),""))</x:f>
      </x:c>
      <x:c r="I216" s="25"/>
      <x:c r="J216" s="24" t="str">
        <x:f>IF(OR(G216="",I216=""),"",G216*I216)</x:f>
      </x:c>
      <x:c r="K216" s="20"/>
      <x:c r="L216" s="20"/>
    </x:row>
    <x:row r="217" ht="22" customHeight="1">
      <x:c r="A217" s="20"/>
      <x:c r="B217" s="22"/>
      <x:c r="C217" s="20"/>
      <x:c r="D217" t="str">
        <x:f>IF(C217="","",IFERROR(VLOOKUP(C217,Customers!$A$6:$B$155,2,FALSE),"INVALID CUSTOMER ID"))</x:f>
      </x:c>
      <x:c r="E217" s="20"/>
      <x:c r="F217" t="str">
        <x:f>IF(E217="","",IFERROR(VLOOKUP(E217,Products!$A$6:$B$110,2,FALSE),"INVALID SKU"))</x:f>
      </x:c>
      <x:c r="G217" s="20"/>
      <x:c r="H217" s="24" t="str">
        <x:f>IF(E217="","",IFERROR(VLOOKUP(E217,Products!$A$6:$D$110,4,FALSE),""))</x:f>
      </x:c>
      <x:c r="I217" s="25"/>
      <x:c r="J217" s="24" t="str">
        <x:f>IF(OR(G217="",I217=""),"",G217*I217)</x:f>
      </x:c>
      <x:c r="K217" s="20"/>
      <x:c r="L217" s="20"/>
    </x:row>
    <x:row r="218" ht="22" customHeight="1">
      <x:c r="A218" s="20"/>
      <x:c r="B218" s="22"/>
      <x:c r="C218" s="20"/>
      <x:c r="D218" t="str">
        <x:f>IF(C218="","",IFERROR(VLOOKUP(C218,Customers!$A$6:$B$155,2,FALSE),"INVALID CUSTOMER ID"))</x:f>
      </x:c>
      <x:c r="E218" s="20"/>
      <x:c r="F218" t="str">
        <x:f>IF(E218="","",IFERROR(VLOOKUP(E218,Products!$A$6:$B$110,2,FALSE),"INVALID SKU"))</x:f>
      </x:c>
      <x:c r="G218" s="20"/>
      <x:c r="H218" s="24" t="str">
        <x:f>IF(E218="","",IFERROR(VLOOKUP(E218,Products!$A$6:$D$110,4,FALSE),""))</x:f>
      </x:c>
      <x:c r="I218" s="25"/>
      <x:c r="J218" s="24" t="str">
        <x:f>IF(OR(G218="",I218=""),"",G218*I218)</x:f>
      </x:c>
      <x:c r="K218" s="20"/>
      <x:c r="L218" s="20"/>
    </x:row>
    <x:row r="219" ht="22" customHeight="1">
      <x:c r="A219" s="20"/>
      <x:c r="B219" s="22"/>
      <x:c r="C219" s="20"/>
      <x:c r="D219" t="str">
        <x:f>IF(C219="","",IFERROR(VLOOKUP(C219,Customers!$A$6:$B$155,2,FALSE),"INVALID CUSTOMER ID"))</x:f>
      </x:c>
      <x:c r="E219" s="20"/>
      <x:c r="F219" t="str">
        <x:f>IF(E219="","",IFERROR(VLOOKUP(E219,Products!$A$6:$B$110,2,FALSE),"INVALID SKU"))</x:f>
      </x:c>
      <x:c r="G219" s="20"/>
      <x:c r="H219" s="24" t="str">
        <x:f>IF(E219="","",IFERROR(VLOOKUP(E219,Products!$A$6:$D$110,4,FALSE),""))</x:f>
      </x:c>
      <x:c r="I219" s="25"/>
      <x:c r="J219" s="24" t="str">
        <x:f>IF(OR(G219="",I219=""),"",G219*I219)</x:f>
      </x:c>
      <x:c r="K219" s="20"/>
      <x:c r="L219" s="20"/>
    </x:row>
    <x:row r="220" ht="22" customHeight="1">
      <x:c r="A220" s="20"/>
      <x:c r="B220" s="22"/>
      <x:c r="C220" s="20"/>
      <x:c r="D220" t="str">
        <x:f>IF(C220="","",IFERROR(VLOOKUP(C220,Customers!$A$6:$B$155,2,FALSE),"INVALID CUSTOMER ID"))</x:f>
      </x:c>
      <x:c r="E220" s="20"/>
      <x:c r="F220" t="str">
        <x:f>IF(E220="","",IFERROR(VLOOKUP(E220,Products!$A$6:$B$110,2,FALSE),"INVALID SKU"))</x:f>
      </x:c>
      <x:c r="G220" s="20"/>
      <x:c r="H220" s="24" t="str">
        <x:f>IF(E220="","",IFERROR(VLOOKUP(E220,Products!$A$6:$D$110,4,FALSE),""))</x:f>
      </x:c>
      <x:c r="I220" s="25"/>
      <x:c r="J220" s="24" t="str">
        <x:f>IF(OR(G220="",I220=""),"",G220*I220)</x:f>
      </x:c>
      <x:c r="K220" s="20"/>
      <x:c r="L220" s="20"/>
    </x:row>
    <x:row r="221" ht="22" customHeight="1">
      <x:c r="A221" s="20"/>
      <x:c r="B221" s="22"/>
      <x:c r="C221" s="20"/>
      <x:c r="D221" t="str">
        <x:f>IF(C221="","",IFERROR(VLOOKUP(C221,Customers!$A$6:$B$155,2,FALSE),"INVALID CUSTOMER ID"))</x:f>
      </x:c>
      <x:c r="E221" s="20"/>
      <x:c r="F221" t="str">
        <x:f>IF(E221="","",IFERROR(VLOOKUP(E221,Products!$A$6:$B$110,2,FALSE),"INVALID SKU"))</x:f>
      </x:c>
      <x:c r="G221" s="20"/>
      <x:c r="H221" s="24" t="str">
        <x:f>IF(E221="","",IFERROR(VLOOKUP(E221,Products!$A$6:$D$110,4,FALSE),""))</x:f>
      </x:c>
      <x:c r="I221" s="25"/>
      <x:c r="J221" s="24" t="str">
        <x:f>IF(OR(G221="",I221=""),"",G221*I221)</x:f>
      </x:c>
      <x:c r="K221" s="20"/>
      <x:c r="L221" s="20"/>
    </x:row>
    <x:row r="222" ht="22" customHeight="1">
      <x:c r="A222" s="20"/>
      <x:c r="B222" s="22"/>
      <x:c r="C222" s="20"/>
      <x:c r="D222" t="str">
        <x:f>IF(C222="","",IFERROR(VLOOKUP(C222,Customers!$A$6:$B$155,2,FALSE),"INVALID CUSTOMER ID"))</x:f>
      </x:c>
      <x:c r="E222" s="20"/>
      <x:c r="F222" t="str">
        <x:f>IF(E222="","",IFERROR(VLOOKUP(E222,Products!$A$6:$B$110,2,FALSE),"INVALID SKU"))</x:f>
      </x:c>
      <x:c r="G222" s="20"/>
      <x:c r="H222" s="24" t="str">
        <x:f>IF(E222="","",IFERROR(VLOOKUP(E222,Products!$A$6:$D$110,4,FALSE),""))</x:f>
      </x:c>
      <x:c r="I222" s="25"/>
      <x:c r="J222" s="24" t="str">
        <x:f>IF(OR(G222="",I222=""),"",G222*I222)</x:f>
      </x:c>
      <x:c r="K222" s="20"/>
      <x:c r="L222" s="20"/>
    </x:row>
    <x:row r="223" ht="22" customHeight="1">
      <x:c r="A223" s="20"/>
      <x:c r="B223" s="22"/>
      <x:c r="C223" s="20"/>
      <x:c r="D223" t="str">
        <x:f>IF(C223="","",IFERROR(VLOOKUP(C223,Customers!$A$6:$B$155,2,FALSE),"INVALID CUSTOMER ID"))</x:f>
      </x:c>
      <x:c r="E223" s="20"/>
      <x:c r="F223" t="str">
        <x:f>IF(E223="","",IFERROR(VLOOKUP(E223,Products!$A$6:$B$110,2,FALSE),"INVALID SKU"))</x:f>
      </x:c>
      <x:c r="G223" s="20"/>
      <x:c r="H223" s="24" t="str">
        <x:f>IF(E223="","",IFERROR(VLOOKUP(E223,Products!$A$6:$D$110,4,FALSE),""))</x:f>
      </x:c>
      <x:c r="I223" s="25"/>
      <x:c r="J223" s="24" t="str">
        <x:f>IF(OR(G223="",I223=""),"",G223*I223)</x:f>
      </x:c>
      <x:c r="K223" s="20"/>
      <x:c r="L223" s="20"/>
    </x:row>
    <x:row r="224" ht="22" customHeight="1">
      <x:c r="A224" s="20"/>
      <x:c r="B224" s="22"/>
      <x:c r="C224" s="20"/>
      <x:c r="D224" t="str">
        <x:f>IF(C224="","",IFERROR(VLOOKUP(C224,Customers!$A$6:$B$155,2,FALSE),"INVALID CUSTOMER ID"))</x:f>
      </x:c>
      <x:c r="E224" s="20"/>
      <x:c r="F224" t="str">
        <x:f>IF(E224="","",IFERROR(VLOOKUP(E224,Products!$A$6:$B$110,2,FALSE),"INVALID SKU"))</x:f>
      </x:c>
      <x:c r="G224" s="20"/>
      <x:c r="H224" s="24" t="str">
        <x:f>IF(E224="","",IFERROR(VLOOKUP(E224,Products!$A$6:$D$110,4,FALSE),""))</x:f>
      </x:c>
      <x:c r="I224" s="25"/>
      <x:c r="J224" s="24" t="str">
        <x:f>IF(OR(G224="",I224=""),"",G224*I224)</x:f>
      </x:c>
      <x:c r="K224" s="20"/>
      <x:c r="L224" s="20"/>
    </x:row>
    <x:row r="225" ht="22" customHeight="1">
      <x:c r="A225" s="20"/>
      <x:c r="B225" s="22"/>
      <x:c r="C225" s="20"/>
      <x:c r="D225" t="str">
        <x:f>IF(C225="","",IFERROR(VLOOKUP(C225,Customers!$A$6:$B$155,2,FALSE),"INVALID CUSTOMER ID"))</x:f>
      </x:c>
      <x:c r="E225" s="20"/>
      <x:c r="F225" t="str">
        <x:f>IF(E225="","",IFERROR(VLOOKUP(E225,Products!$A$6:$B$110,2,FALSE),"INVALID SKU"))</x:f>
      </x:c>
      <x:c r="G225" s="20"/>
      <x:c r="H225" s="24" t="str">
        <x:f>IF(E225="","",IFERROR(VLOOKUP(E225,Products!$A$6:$D$110,4,FALSE),""))</x:f>
      </x:c>
      <x:c r="I225" s="25"/>
      <x:c r="J225" s="24" t="str">
        <x:f>IF(OR(G225="",I225=""),"",G225*I225)</x:f>
      </x:c>
      <x:c r="K225" s="20"/>
      <x:c r="L225" s="20"/>
    </x:row>
    <x:row r="226" ht="22" customHeight="1">
      <x:c r="A226" s="20"/>
      <x:c r="B226" s="22"/>
      <x:c r="C226" s="20"/>
      <x:c r="D226" t="str">
        <x:f>IF(C226="","",IFERROR(VLOOKUP(C226,Customers!$A$6:$B$155,2,FALSE),"INVALID CUSTOMER ID"))</x:f>
      </x:c>
      <x:c r="E226" s="20"/>
      <x:c r="F226" t="str">
        <x:f>IF(E226="","",IFERROR(VLOOKUP(E226,Products!$A$6:$B$110,2,FALSE),"INVALID SKU"))</x:f>
      </x:c>
      <x:c r="G226" s="20"/>
      <x:c r="H226" s="24" t="str">
        <x:f>IF(E226="","",IFERROR(VLOOKUP(E226,Products!$A$6:$D$110,4,FALSE),""))</x:f>
      </x:c>
      <x:c r="I226" s="25"/>
      <x:c r="J226" s="24" t="str">
        <x:f>IF(OR(G226="",I226=""),"",G226*I226)</x:f>
      </x:c>
      <x:c r="K226" s="20"/>
      <x:c r="L226" s="20"/>
    </x:row>
    <x:row r="227" ht="22" customHeight="1">
      <x:c r="A227" s="20"/>
      <x:c r="B227" s="22"/>
      <x:c r="C227" s="20"/>
      <x:c r="D227" t="str">
        <x:f>IF(C227="","",IFERROR(VLOOKUP(C227,Customers!$A$6:$B$155,2,FALSE),"INVALID CUSTOMER ID"))</x:f>
      </x:c>
      <x:c r="E227" s="20"/>
      <x:c r="F227" t="str">
        <x:f>IF(E227="","",IFERROR(VLOOKUP(E227,Products!$A$6:$B$110,2,FALSE),"INVALID SKU"))</x:f>
      </x:c>
      <x:c r="G227" s="20"/>
      <x:c r="H227" s="24" t="str">
        <x:f>IF(E227="","",IFERROR(VLOOKUP(E227,Products!$A$6:$D$110,4,FALSE),""))</x:f>
      </x:c>
      <x:c r="I227" s="25"/>
      <x:c r="J227" s="24" t="str">
        <x:f>IF(OR(G227="",I227=""),"",G227*I227)</x:f>
      </x:c>
      <x:c r="K227" s="20"/>
      <x:c r="L227" s="20"/>
    </x:row>
    <x:row r="228" ht="22" customHeight="1">
      <x:c r="A228" s="20"/>
      <x:c r="B228" s="22"/>
      <x:c r="C228" s="20"/>
      <x:c r="D228" t="str">
        <x:f>IF(C228="","",IFERROR(VLOOKUP(C228,Customers!$A$6:$B$155,2,FALSE),"INVALID CUSTOMER ID"))</x:f>
      </x:c>
      <x:c r="E228" s="20"/>
      <x:c r="F228" t="str">
        <x:f>IF(E228="","",IFERROR(VLOOKUP(E228,Products!$A$6:$B$110,2,FALSE),"INVALID SKU"))</x:f>
      </x:c>
      <x:c r="G228" s="20"/>
      <x:c r="H228" s="24" t="str">
        <x:f>IF(E228="","",IFERROR(VLOOKUP(E228,Products!$A$6:$D$110,4,FALSE),""))</x:f>
      </x:c>
      <x:c r="I228" s="25"/>
      <x:c r="J228" s="24" t="str">
        <x:f>IF(OR(G228="",I228=""),"",G228*I228)</x:f>
      </x:c>
      <x:c r="K228" s="20"/>
      <x:c r="L228" s="20"/>
    </x:row>
    <x:row r="229" ht="22" customHeight="1">
      <x:c r="A229" s="20"/>
      <x:c r="B229" s="22"/>
      <x:c r="C229" s="20"/>
      <x:c r="D229" t="str">
        <x:f>IF(C229="","",IFERROR(VLOOKUP(C229,Customers!$A$6:$B$155,2,FALSE),"INVALID CUSTOMER ID"))</x:f>
      </x:c>
      <x:c r="E229" s="20"/>
      <x:c r="F229" t="str">
        <x:f>IF(E229="","",IFERROR(VLOOKUP(E229,Products!$A$6:$B$110,2,FALSE),"INVALID SKU"))</x:f>
      </x:c>
      <x:c r="G229" s="20"/>
      <x:c r="H229" s="24" t="str">
        <x:f>IF(E229="","",IFERROR(VLOOKUP(E229,Products!$A$6:$D$110,4,FALSE),""))</x:f>
      </x:c>
      <x:c r="I229" s="25"/>
      <x:c r="J229" s="24" t="str">
        <x:f>IF(OR(G229="",I229=""),"",G229*I229)</x:f>
      </x:c>
      <x:c r="K229" s="20"/>
      <x:c r="L229" s="20"/>
    </x:row>
    <x:row r="230" ht="22" customHeight="1">
      <x:c r="A230" s="20"/>
      <x:c r="B230" s="22"/>
      <x:c r="C230" s="20"/>
      <x:c r="D230" t="str">
        <x:f>IF(C230="","",IFERROR(VLOOKUP(C230,Customers!$A$6:$B$155,2,FALSE),"INVALID CUSTOMER ID"))</x:f>
      </x:c>
      <x:c r="E230" s="20"/>
      <x:c r="F230" t="str">
        <x:f>IF(E230="","",IFERROR(VLOOKUP(E230,Products!$A$6:$B$110,2,FALSE),"INVALID SKU"))</x:f>
      </x:c>
      <x:c r="G230" s="20"/>
      <x:c r="H230" s="24" t="str">
        <x:f>IF(E230="","",IFERROR(VLOOKUP(E230,Products!$A$6:$D$110,4,FALSE),""))</x:f>
      </x:c>
      <x:c r="I230" s="25"/>
      <x:c r="J230" s="24" t="str">
        <x:f>IF(OR(G230="",I230=""),"",G230*I230)</x:f>
      </x:c>
      <x:c r="K230" s="20"/>
      <x:c r="L230" s="20"/>
    </x:row>
    <x:row r="231" ht="22" customHeight="1">
      <x:c r="A231" s="20"/>
      <x:c r="B231" s="22"/>
      <x:c r="C231" s="20"/>
      <x:c r="D231" t="str">
        <x:f>IF(C231="","",IFERROR(VLOOKUP(C231,Customers!$A$6:$B$155,2,FALSE),"INVALID CUSTOMER ID"))</x:f>
      </x:c>
      <x:c r="E231" s="20"/>
      <x:c r="F231" t="str">
        <x:f>IF(E231="","",IFERROR(VLOOKUP(E231,Products!$A$6:$B$110,2,FALSE),"INVALID SKU"))</x:f>
      </x:c>
      <x:c r="G231" s="20"/>
      <x:c r="H231" s="24" t="str">
        <x:f>IF(E231="","",IFERROR(VLOOKUP(E231,Products!$A$6:$D$110,4,FALSE),""))</x:f>
      </x:c>
      <x:c r="I231" s="25"/>
      <x:c r="J231" s="24" t="str">
        <x:f>IF(OR(G231="",I231=""),"",G231*I231)</x:f>
      </x:c>
      <x:c r="K231" s="20"/>
      <x:c r="L231" s="20"/>
    </x:row>
    <x:row r="232" ht="22" customHeight="1">
      <x:c r="A232" s="20"/>
      <x:c r="B232" s="22"/>
      <x:c r="C232" s="20"/>
      <x:c r="D232" t="str">
        <x:f>IF(C232="","",IFERROR(VLOOKUP(C232,Customers!$A$6:$B$155,2,FALSE),"INVALID CUSTOMER ID"))</x:f>
      </x:c>
      <x:c r="E232" s="20"/>
      <x:c r="F232" t="str">
        <x:f>IF(E232="","",IFERROR(VLOOKUP(E232,Products!$A$6:$B$110,2,FALSE),"INVALID SKU"))</x:f>
      </x:c>
      <x:c r="G232" s="20"/>
      <x:c r="H232" s="24" t="str">
        <x:f>IF(E232="","",IFERROR(VLOOKUP(E232,Products!$A$6:$D$110,4,FALSE),""))</x:f>
      </x:c>
      <x:c r="I232" s="25"/>
      <x:c r="J232" s="24" t="str">
        <x:f>IF(OR(G232="",I232=""),"",G232*I232)</x:f>
      </x:c>
      <x:c r="K232" s="20"/>
      <x:c r="L232" s="20"/>
    </x:row>
    <x:row r="233" ht="22" customHeight="1">
      <x:c r="A233" s="20"/>
      <x:c r="B233" s="22"/>
      <x:c r="C233" s="20"/>
      <x:c r="D233" t="str">
        <x:f>IF(C233="","",IFERROR(VLOOKUP(C233,Customers!$A$6:$B$155,2,FALSE),"INVALID CUSTOMER ID"))</x:f>
      </x:c>
      <x:c r="E233" s="20"/>
      <x:c r="F233" t="str">
        <x:f>IF(E233="","",IFERROR(VLOOKUP(E233,Products!$A$6:$B$110,2,FALSE),"INVALID SKU"))</x:f>
      </x:c>
      <x:c r="G233" s="20"/>
      <x:c r="H233" s="24" t="str">
        <x:f>IF(E233="","",IFERROR(VLOOKUP(E233,Products!$A$6:$D$110,4,FALSE),""))</x:f>
      </x:c>
      <x:c r="I233" s="25"/>
      <x:c r="J233" s="24" t="str">
        <x:f>IF(OR(G233="",I233=""),"",G233*I233)</x:f>
      </x:c>
      <x:c r="K233" s="20"/>
      <x:c r="L233" s="20"/>
    </x:row>
    <x:row r="234" ht="22" customHeight="1">
      <x:c r="A234" s="20"/>
      <x:c r="B234" s="22"/>
      <x:c r="C234" s="20"/>
      <x:c r="D234" t="str">
        <x:f>IF(C234="","",IFERROR(VLOOKUP(C234,Customers!$A$6:$B$155,2,FALSE),"INVALID CUSTOMER ID"))</x:f>
      </x:c>
      <x:c r="E234" s="20"/>
      <x:c r="F234" t="str">
        <x:f>IF(E234="","",IFERROR(VLOOKUP(E234,Products!$A$6:$B$110,2,FALSE),"INVALID SKU"))</x:f>
      </x:c>
      <x:c r="G234" s="20"/>
      <x:c r="H234" s="24" t="str">
        <x:f>IF(E234="","",IFERROR(VLOOKUP(E234,Products!$A$6:$D$110,4,FALSE),""))</x:f>
      </x:c>
      <x:c r="I234" s="25"/>
      <x:c r="J234" s="24" t="str">
        <x:f>IF(OR(G234="",I234=""),"",G234*I234)</x:f>
      </x:c>
      <x:c r="K234" s="20"/>
      <x:c r="L234" s="20"/>
    </x:row>
    <x:row r="235" ht="22" customHeight="1">
      <x:c r="A235" s="20"/>
      <x:c r="B235" s="22"/>
      <x:c r="C235" s="20"/>
      <x:c r="D235" t="str">
        <x:f>IF(C235="","",IFERROR(VLOOKUP(C235,Customers!$A$6:$B$155,2,FALSE),"INVALID CUSTOMER ID"))</x:f>
      </x:c>
      <x:c r="E235" s="20"/>
      <x:c r="F235" t="str">
        <x:f>IF(E235="","",IFERROR(VLOOKUP(E235,Products!$A$6:$B$110,2,FALSE),"INVALID SKU"))</x:f>
      </x:c>
      <x:c r="G235" s="20"/>
      <x:c r="H235" s="24" t="str">
        <x:f>IF(E235="","",IFERROR(VLOOKUP(E235,Products!$A$6:$D$110,4,FALSE),""))</x:f>
      </x:c>
      <x:c r="I235" s="25"/>
      <x:c r="J235" s="24" t="str">
        <x:f>IF(OR(G235="",I235=""),"",G235*I235)</x:f>
      </x:c>
      <x:c r="K235" s="20"/>
      <x:c r="L235" s="20"/>
    </x:row>
    <x:row r="236" ht="22" customHeight="1">
      <x:c r="A236" s="20"/>
      <x:c r="B236" s="22"/>
      <x:c r="C236" s="20"/>
      <x:c r="D236" t="str">
        <x:f>IF(C236="","",IFERROR(VLOOKUP(C236,Customers!$A$6:$B$155,2,FALSE),"INVALID CUSTOMER ID"))</x:f>
      </x:c>
      <x:c r="E236" s="20"/>
      <x:c r="F236" t="str">
        <x:f>IF(E236="","",IFERROR(VLOOKUP(E236,Products!$A$6:$B$110,2,FALSE),"INVALID SKU"))</x:f>
      </x:c>
      <x:c r="G236" s="20"/>
      <x:c r="H236" s="24" t="str">
        <x:f>IF(E236="","",IFERROR(VLOOKUP(E236,Products!$A$6:$D$110,4,FALSE),""))</x:f>
      </x:c>
      <x:c r="I236" s="25"/>
      <x:c r="J236" s="24" t="str">
        <x:f>IF(OR(G236="",I236=""),"",G236*I236)</x:f>
      </x:c>
      <x:c r="K236" s="20"/>
      <x:c r="L236" s="20"/>
    </x:row>
    <x:row r="237" ht="22" customHeight="1">
      <x:c r="A237" s="20"/>
      <x:c r="B237" s="22"/>
      <x:c r="C237" s="20"/>
      <x:c r="D237" t="str">
        <x:f>IF(C237="","",IFERROR(VLOOKUP(C237,Customers!$A$6:$B$155,2,FALSE),"INVALID CUSTOMER ID"))</x:f>
      </x:c>
      <x:c r="E237" s="20"/>
      <x:c r="F237" t="str">
        <x:f>IF(E237="","",IFERROR(VLOOKUP(E237,Products!$A$6:$B$110,2,FALSE),"INVALID SKU"))</x:f>
      </x:c>
      <x:c r="G237" s="20"/>
      <x:c r="H237" s="24" t="str">
        <x:f>IF(E237="","",IFERROR(VLOOKUP(E237,Products!$A$6:$D$110,4,FALSE),""))</x:f>
      </x:c>
      <x:c r="I237" s="25"/>
      <x:c r="J237" s="24" t="str">
        <x:f>IF(OR(G237="",I237=""),"",G237*I237)</x:f>
      </x:c>
      <x:c r="K237" s="20"/>
      <x:c r="L237" s="20"/>
    </x:row>
    <x:row r="238" ht="22" customHeight="1">
      <x:c r="A238" s="20"/>
      <x:c r="B238" s="22"/>
      <x:c r="C238" s="20"/>
      <x:c r="D238" t="str">
        <x:f>IF(C238="","",IFERROR(VLOOKUP(C238,Customers!$A$6:$B$155,2,FALSE),"INVALID CUSTOMER ID"))</x:f>
      </x:c>
      <x:c r="E238" s="20"/>
      <x:c r="F238" t="str">
        <x:f>IF(E238="","",IFERROR(VLOOKUP(E238,Products!$A$6:$B$110,2,FALSE),"INVALID SKU"))</x:f>
      </x:c>
      <x:c r="G238" s="20"/>
      <x:c r="H238" s="24" t="str">
        <x:f>IF(E238="","",IFERROR(VLOOKUP(E238,Products!$A$6:$D$110,4,FALSE),""))</x:f>
      </x:c>
      <x:c r="I238" s="25"/>
      <x:c r="J238" s="24" t="str">
        <x:f>IF(OR(G238="",I238=""),"",G238*I238)</x:f>
      </x:c>
      <x:c r="K238" s="20"/>
      <x:c r="L238" s="20"/>
    </x:row>
    <x:row r="239" ht="22" customHeight="1">
      <x:c r="A239" s="20"/>
      <x:c r="B239" s="22"/>
      <x:c r="C239" s="20"/>
      <x:c r="D239" t="str">
        <x:f>IF(C239="","",IFERROR(VLOOKUP(C239,Customers!$A$6:$B$155,2,FALSE),"INVALID CUSTOMER ID"))</x:f>
      </x:c>
      <x:c r="E239" s="20"/>
      <x:c r="F239" t="str">
        <x:f>IF(E239="","",IFERROR(VLOOKUP(E239,Products!$A$6:$B$110,2,FALSE),"INVALID SKU"))</x:f>
      </x:c>
      <x:c r="G239" s="20"/>
      <x:c r="H239" s="24" t="str">
        <x:f>IF(E239="","",IFERROR(VLOOKUP(E239,Products!$A$6:$D$110,4,FALSE),""))</x:f>
      </x:c>
      <x:c r="I239" s="25"/>
      <x:c r="J239" s="24" t="str">
        <x:f>IF(OR(G239="",I239=""),"",G239*I239)</x:f>
      </x:c>
      <x:c r="K239" s="20"/>
      <x:c r="L239" s="20"/>
    </x:row>
    <x:row r="240" ht="22" customHeight="1">
      <x:c r="A240" s="20"/>
      <x:c r="B240" s="22"/>
      <x:c r="C240" s="20"/>
      <x:c r="D240" t="str">
        <x:f>IF(C240="","",IFERROR(VLOOKUP(C240,Customers!$A$6:$B$155,2,FALSE),"INVALID CUSTOMER ID"))</x:f>
      </x:c>
      <x:c r="E240" s="20"/>
      <x:c r="F240" t="str">
        <x:f>IF(E240="","",IFERROR(VLOOKUP(E240,Products!$A$6:$B$110,2,FALSE),"INVALID SKU"))</x:f>
      </x:c>
      <x:c r="G240" s="20"/>
      <x:c r="H240" s="24" t="str">
        <x:f>IF(E240="","",IFERROR(VLOOKUP(E240,Products!$A$6:$D$110,4,FALSE),""))</x:f>
      </x:c>
      <x:c r="I240" s="25"/>
      <x:c r="J240" s="24" t="str">
        <x:f>IF(OR(G240="",I240=""),"",G240*I240)</x:f>
      </x:c>
      <x:c r="K240" s="20"/>
      <x:c r="L240" s="20"/>
    </x:row>
    <x:row r="241" ht="22" customHeight="1">
      <x:c r="A241" s="20"/>
      <x:c r="B241" s="22"/>
      <x:c r="C241" s="20"/>
      <x:c r="D241" t="str">
        <x:f>IF(C241="","",IFERROR(VLOOKUP(C241,Customers!$A$6:$B$155,2,FALSE),"INVALID CUSTOMER ID"))</x:f>
      </x:c>
      <x:c r="E241" s="20"/>
      <x:c r="F241" t="str">
        <x:f>IF(E241="","",IFERROR(VLOOKUP(E241,Products!$A$6:$B$110,2,FALSE),"INVALID SKU"))</x:f>
      </x:c>
      <x:c r="G241" s="20"/>
      <x:c r="H241" s="24" t="str">
        <x:f>IF(E241="","",IFERROR(VLOOKUP(E241,Products!$A$6:$D$110,4,FALSE),""))</x:f>
      </x:c>
      <x:c r="I241" s="25"/>
      <x:c r="J241" s="24" t="str">
        <x:f>IF(OR(G241="",I241=""),"",G241*I241)</x:f>
      </x:c>
      <x:c r="K241" s="20"/>
      <x:c r="L241" s="20"/>
    </x:row>
    <x:row r="242" ht="22" customHeight="1">
      <x:c r="A242" s="20"/>
      <x:c r="B242" s="22"/>
      <x:c r="C242" s="20"/>
      <x:c r="D242" t="str">
        <x:f>IF(C242="","",IFERROR(VLOOKUP(C242,Customers!$A$6:$B$155,2,FALSE),"INVALID CUSTOMER ID"))</x:f>
      </x:c>
      <x:c r="E242" s="20"/>
      <x:c r="F242" t="str">
        <x:f>IF(E242="","",IFERROR(VLOOKUP(E242,Products!$A$6:$B$110,2,FALSE),"INVALID SKU"))</x:f>
      </x:c>
      <x:c r="G242" s="20"/>
      <x:c r="H242" s="24" t="str">
        <x:f>IF(E242="","",IFERROR(VLOOKUP(E242,Products!$A$6:$D$110,4,FALSE),""))</x:f>
      </x:c>
      <x:c r="I242" s="25"/>
      <x:c r="J242" s="24" t="str">
        <x:f>IF(OR(G242="",I242=""),"",G242*I242)</x:f>
      </x:c>
      <x:c r="K242" s="20"/>
      <x:c r="L242" s="20"/>
    </x:row>
    <x:row r="243" ht="22" customHeight="1">
      <x:c r="A243" s="20"/>
      <x:c r="B243" s="22"/>
      <x:c r="C243" s="20"/>
      <x:c r="D243" t="str">
        <x:f>IF(C243="","",IFERROR(VLOOKUP(C243,Customers!$A$6:$B$155,2,FALSE),"INVALID CUSTOMER ID"))</x:f>
      </x:c>
      <x:c r="E243" s="20"/>
      <x:c r="F243" t="str">
        <x:f>IF(E243="","",IFERROR(VLOOKUP(E243,Products!$A$6:$B$110,2,FALSE),"INVALID SKU"))</x:f>
      </x:c>
      <x:c r="G243" s="20"/>
      <x:c r="H243" s="24" t="str">
        <x:f>IF(E243="","",IFERROR(VLOOKUP(E243,Products!$A$6:$D$110,4,FALSE),""))</x:f>
      </x:c>
      <x:c r="I243" s="25"/>
      <x:c r="J243" s="24" t="str">
        <x:f>IF(OR(G243="",I243=""),"",G243*I243)</x:f>
      </x:c>
      <x:c r="K243" s="20"/>
      <x:c r="L243" s="20"/>
    </x:row>
    <x:row r="244" ht="22" customHeight="1">
      <x:c r="A244" s="20"/>
      <x:c r="B244" s="22"/>
      <x:c r="C244" s="20"/>
      <x:c r="D244" t="str">
        <x:f>IF(C244="","",IFERROR(VLOOKUP(C244,Customers!$A$6:$B$155,2,FALSE),"INVALID CUSTOMER ID"))</x:f>
      </x:c>
      <x:c r="E244" s="20"/>
      <x:c r="F244" t="str">
        <x:f>IF(E244="","",IFERROR(VLOOKUP(E244,Products!$A$6:$B$110,2,FALSE),"INVALID SKU"))</x:f>
      </x:c>
      <x:c r="G244" s="20"/>
      <x:c r="H244" s="24" t="str">
        <x:f>IF(E244="","",IFERROR(VLOOKUP(E244,Products!$A$6:$D$110,4,FALSE),""))</x:f>
      </x:c>
      <x:c r="I244" s="25"/>
      <x:c r="J244" s="24" t="str">
        <x:f>IF(OR(G244="",I244=""),"",G244*I244)</x:f>
      </x:c>
      <x:c r="K244" s="20"/>
      <x:c r="L244" s="20"/>
    </x:row>
    <x:row r="245" ht="22" customHeight="1">
      <x:c r="A245" s="20"/>
      <x:c r="B245" s="22"/>
      <x:c r="C245" s="20"/>
      <x:c r="D245" t="str">
        <x:f>IF(C245="","",IFERROR(VLOOKUP(C245,Customers!$A$6:$B$155,2,FALSE),"INVALID CUSTOMER ID"))</x:f>
      </x:c>
      <x:c r="E245" s="20"/>
      <x:c r="F245" t="str">
        <x:f>IF(E245="","",IFERROR(VLOOKUP(E245,Products!$A$6:$B$110,2,FALSE),"INVALID SKU"))</x:f>
      </x:c>
      <x:c r="G245" s="20"/>
      <x:c r="H245" s="24" t="str">
        <x:f>IF(E245="","",IFERROR(VLOOKUP(E245,Products!$A$6:$D$110,4,FALSE),""))</x:f>
      </x:c>
      <x:c r="I245" s="25"/>
      <x:c r="J245" s="24" t="str">
        <x:f>IF(OR(G245="",I245=""),"",G245*I245)</x:f>
      </x:c>
      <x:c r="K245" s="20"/>
      <x:c r="L245" s="20"/>
    </x:row>
    <x:row r="246" ht="22" customHeight="1">
      <x:c r="A246" s="20"/>
      <x:c r="B246" s="22"/>
      <x:c r="C246" s="20"/>
      <x:c r="D246" t="str">
        <x:f>IF(C246="","",IFERROR(VLOOKUP(C246,Customers!$A$6:$B$155,2,FALSE),"INVALID CUSTOMER ID"))</x:f>
      </x:c>
      <x:c r="E246" s="20"/>
      <x:c r="F246" t="str">
        <x:f>IF(E246="","",IFERROR(VLOOKUP(E246,Products!$A$6:$B$110,2,FALSE),"INVALID SKU"))</x:f>
      </x:c>
      <x:c r="G246" s="20"/>
      <x:c r="H246" s="24" t="str">
        <x:f>IF(E246="","",IFERROR(VLOOKUP(E246,Products!$A$6:$D$110,4,FALSE),""))</x:f>
      </x:c>
      <x:c r="I246" s="25"/>
      <x:c r="J246" s="24" t="str">
        <x:f>IF(OR(G246="",I246=""),"",G246*I246)</x:f>
      </x:c>
      <x:c r="K246" s="20"/>
      <x:c r="L246" s="20"/>
    </x:row>
    <x:row r="247" ht="22" customHeight="1">
      <x:c r="A247" s="20"/>
      <x:c r="B247" s="22"/>
      <x:c r="C247" s="20"/>
      <x:c r="D247" t="str">
        <x:f>IF(C247="","",IFERROR(VLOOKUP(C247,Customers!$A$6:$B$155,2,FALSE),"INVALID CUSTOMER ID"))</x:f>
      </x:c>
      <x:c r="E247" s="20"/>
      <x:c r="F247" t="str">
        <x:f>IF(E247="","",IFERROR(VLOOKUP(E247,Products!$A$6:$B$110,2,FALSE),"INVALID SKU"))</x:f>
      </x:c>
      <x:c r="G247" s="20"/>
      <x:c r="H247" s="24" t="str">
        <x:f>IF(E247="","",IFERROR(VLOOKUP(E247,Products!$A$6:$D$110,4,FALSE),""))</x:f>
      </x:c>
      <x:c r="I247" s="25"/>
      <x:c r="J247" s="24" t="str">
        <x:f>IF(OR(G247="",I247=""),"",G247*I247)</x:f>
      </x:c>
      <x:c r="K247" s="20"/>
      <x:c r="L247" s="20"/>
    </x:row>
    <x:row r="248" ht="22" customHeight="1">
      <x:c r="A248" s="20"/>
      <x:c r="B248" s="22"/>
      <x:c r="C248" s="20"/>
      <x:c r="D248" t="str">
        <x:f>IF(C248="","",IFERROR(VLOOKUP(C248,Customers!$A$6:$B$155,2,FALSE),"INVALID CUSTOMER ID"))</x:f>
      </x:c>
      <x:c r="E248" s="20"/>
      <x:c r="F248" t="str">
        <x:f>IF(E248="","",IFERROR(VLOOKUP(E248,Products!$A$6:$B$110,2,FALSE),"INVALID SKU"))</x:f>
      </x:c>
      <x:c r="G248" s="20"/>
      <x:c r="H248" s="24" t="str">
        <x:f>IF(E248="","",IFERROR(VLOOKUP(E248,Products!$A$6:$D$110,4,FALSE),""))</x:f>
      </x:c>
      <x:c r="I248" s="25"/>
      <x:c r="J248" s="24" t="str">
        <x:f>IF(OR(G248="",I248=""),"",G248*I248)</x:f>
      </x:c>
      <x:c r="K248" s="20"/>
      <x:c r="L248" s="20"/>
    </x:row>
    <x:row r="249" ht="22" customHeight="1">
      <x:c r="A249" s="20"/>
      <x:c r="B249" s="22"/>
      <x:c r="C249" s="20"/>
      <x:c r="D249" t="str">
        <x:f>IF(C249="","",IFERROR(VLOOKUP(C249,Customers!$A$6:$B$155,2,FALSE),"INVALID CUSTOMER ID"))</x:f>
      </x:c>
      <x:c r="E249" s="20"/>
      <x:c r="F249" t="str">
        <x:f>IF(E249="","",IFERROR(VLOOKUP(E249,Products!$A$6:$B$110,2,FALSE),"INVALID SKU"))</x:f>
      </x:c>
      <x:c r="G249" s="20"/>
      <x:c r="H249" s="24" t="str">
        <x:f>IF(E249="","",IFERROR(VLOOKUP(E249,Products!$A$6:$D$110,4,FALSE),""))</x:f>
      </x:c>
      <x:c r="I249" s="25"/>
      <x:c r="J249" s="24" t="str">
        <x:f>IF(OR(G249="",I249=""),"",G249*I249)</x:f>
      </x:c>
      <x:c r="K249" s="20"/>
      <x:c r="L249" s="20"/>
    </x:row>
    <x:row r="250" ht="22" customHeight="1">
      <x:c r="A250" s="20"/>
      <x:c r="B250" s="22"/>
      <x:c r="C250" s="20"/>
      <x:c r="D250" t="str">
        <x:f>IF(C250="","",IFERROR(VLOOKUP(C250,Customers!$A$6:$B$155,2,FALSE),"INVALID CUSTOMER ID"))</x:f>
      </x:c>
      <x:c r="E250" s="20"/>
      <x:c r="F250" t="str">
        <x:f>IF(E250="","",IFERROR(VLOOKUP(E250,Products!$A$6:$B$110,2,FALSE),"INVALID SKU"))</x:f>
      </x:c>
      <x:c r="G250" s="20"/>
      <x:c r="H250" s="24" t="str">
        <x:f>IF(E250="","",IFERROR(VLOOKUP(E250,Products!$A$6:$D$110,4,FALSE),""))</x:f>
      </x:c>
      <x:c r="I250" s="25"/>
      <x:c r="J250" s="24" t="str">
        <x:f>IF(OR(G250="",I250=""),"",G250*I250)</x:f>
      </x:c>
      <x:c r="K250" s="20"/>
      <x:c r="L250" s="20"/>
    </x:row>
    <x:row r="251" ht="22" customHeight="1">
      <x:c r="A251" s="20"/>
      <x:c r="B251" s="22"/>
      <x:c r="C251" s="20"/>
      <x:c r="D251" t="str">
        <x:f>IF(C251="","",IFERROR(VLOOKUP(C251,Customers!$A$6:$B$155,2,FALSE),"INVALID CUSTOMER ID"))</x:f>
      </x:c>
      <x:c r="E251" s="20"/>
      <x:c r="F251" t="str">
        <x:f>IF(E251="","",IFERROR(VLOOKUP(E251,Products!$A$6:$B$110,2,FALSE),"INVALID SKU"))</x:f>
      </x:c>
      <x:c r="G251" s="20"/>
      <x:c r="H251" s="24" t="str">
        <x:f>IF(E251="","",IFERROR(VLOOKUP(E251,Products!$A$6:$D$110,4,FALSE),""))</x:f>
      </x:c>
      <x:c r="I251" s="25"/>
      <x:c r="J251" s="24" t="str">
        <x:f>IF(OR(G251="",I251=""),"",G251*I251)</x:f>
      </x:c>
      <x:c r="K251" s="20"/>
      <x:c r="L251" s="20"/>
    </x:row>
    <x:row r="252" ht="22" customHeight="1">
      <x:c r="A252" s="20"/>
      <x:c r="B252" s="22"/>
      <x:c r="C252" s="20"/>
      <x:c r="D252" t="str">
        <x:f>IF(C252="","",IFERROR(VLOOKUP(C252,Customers!$A$6:$B$155,2,FALSE),"INVALID CUSTOMER ID"))</x:f>
      </x:c>
      <x:c r="E252" s="20"/>
      <x:c r="F252" t="str">
        <x:f>IF(E252="","",IFERROR(VLOOKUP(E252,Products!$A$6:$B$110,2,FALSE),"INVALID SKU"))</x:f>
      </x:c>
      <x:c r="G252" s="20"/>
      <x:c r="H252" s="24" t="str">
        <x:f>IF(E252="","",IFERROR(VLOOKUP(E252,Products!$A$6:$D$110,4,FALSE),""))</x:f>
      </x:c>
      <x:c r="I252" s="25"/>
      <x:c r="J252" s="24" t="str">
        <x:f>IF(OR(G252="",I252=""),"",G252*I252)</x:f>
      </x:c>
      <x:c r="K252" s="20"/>
      <x:c r="L252" s="20"/>
    </x:row>
    <x:row r="253" ht="22" customHeight="1">
      <x:c r="A253" s="20"/>
      <x:c r="B253" s="22"/>
      <x:c r="C253" s="20"/>
      <x:c r="D253" t="str">
        <x:f>IF(C253="","",IFERROR(VLOOKUP(C253,Customers!$A$6:$B$155,2,FALSE),"INVALID CUSTOMER ID"))</x:f>
      </x:c>
      <x:c r="E253" s="20"/>
      <x:c r="F253" t="str">
        <x:f>IF(E253="","",IFERROR(VLOOKUP(E253,Products!$A$6:$B$110,2,FALSE),"INVALID SKU"))</x:f>
      </x:c>
      <x:c r="G253" s="20"/>
      <x:c r="H253" s="24" t="str">
        <x:f>IF(E253="","",IFERROR(VLOOKUP(E253,Products!$A$6:$D$110,4,FALSE),""))</x:f>
      </x:c>
      <x:c r="I253" s="25"/>
      <x:c r="J253" s="24" t="str">
        <x:f>IF(OR(G253="",I253=""),"",G253*I253)</x:f>
      </x:c>
      <x:c r="K253" s="20"/>
      <x:c r="L253" s="20"/>
    </x:row>
    <x:row r="254" ht="22" customHeight="1">
      <x:c r="A254" s="20"/>
      <x:c r="B254" s="22"/>
      <x:c r="C254" s="20"/>
      <x:c r="D254" t="str">
        <x:f>IF(C254="","",IFERROR(VLOOKUP(C254,Customers!$A$6:$B$155,2,FALSE),"INVALID CUSTOMER ID"))</x:f>
      </x:c>
      <x:c r="E254" s="20"/>
      <x:c r="F254" t="str">
        <x:f>IF(E254="","",IFERROR(VLOOKUP(E254,Products!$A$6:$B$110,2,FALSE),"INVALID SKU"))</x:f>
      </x:c>
      <x:c r="G254" s="20"/>
      <x:c r="H254" s="24" t="str">
        <x:f>IF(E254="","",IFERROR(VLOOKUP(E254,Products!$A$6:$D$110,4,FALSE),""))</x:f>
      </x:c>
      <x:c r="I254" s="25"/>
      <x:c r="J254" s="24" t="str">
        <x:f>IF(OR(G254="",I254=""),"",G254*I254)</x:f>
      </x:c>
      <x:c r="K254" s="20"/>
      <x:c r="L254" s="20"/>
    </x:row>
    <x:row r="255" ht="22" customHeight="1">
      <x:c r="A255" s="20"/>
      <x:c r="B255" s="22"/>
      <x:c r="C255" s="20"/>
      <x:c r="D255" t="str">
        <x:f>IF(C255="","",IFERROR(VLOOKUP(C255,Customers!$A$6:$B$155,2,FALSE),"INVALID CUSTOMER ID"))</x:f>
      </x:c>
      <x:c r="E255" s="20"/>
      <x:c r="F255" t="str">
        <x:f>IF(E255="","",IFERROR(VLOOKUP(E255,Products!$A$6:$B$110,2,FALSE),"INVALID SKU"))</x:f>
      </x:c>
      <x:c r="G255" s="20"/>
      <x:c r="H255" s="24" t="str">
        <x:f>IF(E255="","",IFERROR(VLOOKUP(E255,Products!$A$6:$D$110,4,FALSE),""))</x:f>
      </x:c>
      <x:c r="I255" s="25"/>
      <x:c r="J255" s="24" t="str">
        <x:f>IF(OR(G255="",I255=""),"",G255*I255)</x:f>
      </x:c>
      <x:c r="K255" s="20"/>
      <x:c r="L255" s="20"/>
    </x:row>
    <x:row r="256" ht="22" customHeight="1">
      <x:c r="A256" s="20"/>
      <x:c r="B256" s="22"/>
      <x:c r="C256" s="20"/>
      <x:c r="D256" t="str">
        <x:f>IF(C256="","",IFERROR(VLOOKUP(C256,Customers!$A$6:$B$155,2,FALSE),"INVALID CUSTOMER ID"))</x:f>
      </x:c>
      <x:c r="E256" s="20"/>
      <x:c r="F256" t="str">
        <x:f>IF(E256="","",IFERROR(VLOOKUP(E256,Products!$A$6:$B$110,2,FALSE),"INVALID SKU"))</x:f>
      </x:c>
      <x:c r="G256" s="20"/>
      <x:c r="H256" s="24" t="str">
        <x:f>IF(E256="","",IFERROR(VLOOKUP(E256,Products!$A$6:$D$110,4,FALSE),""))</x:f>
      </x:c>
      <x:c r="I256" s="25"/>
      <x:c r="J256" s="24" t="str">
        <x:f>IF(OR(G256="",I256=""),"",G256*I256)</x:f>
      </x:c>
      <x:c r="K256" s="20"/>
      <x:c r="L256" s="20"/>
    </x:row>
    <x:row r="257" ht="22" customHeight="1">
      <x:c r="A257" s="20"/>
      <x:c r="B257" s="22"/>
      <x:c r="C257" s="20"/>
      <x:c r="D257" t="str">
        <x:f>IF(C257="","",IFERROR(VLOOKUP(C257,Customers!$A$6:$B$155,2,FALSE),"INVALID CUSTOMER ID"))</x:f>
      </x:c>
      <x:c r="E257" s="20"/>
      <x:c r="F257" t="str">
        <x:f>IF(E257="","",IFERROR(VLOOKUP(E257,Products!$A$6:$B$110,2,FALSE),"INVALID SKU"))</x:f>
      </x:c>
      <x:c r="G257" s="20"/>
      <x:c r="H257" s="24" t="str">
        <x:f>IF(E257="","",IFERROR(VLOOKUP(E257,Products!$A$6:$D$110,4,FALSE),""))</x:f>
      </x:c>
      <x:c r="I257" s="25"/>
      <x:c r="J257" s="24" t="str">
        <x:f>IF(OR(G257="",I257=""),"",G257*I257)</x:f>
      </x:c>
      <x:c r="K257" s="20"/>
      <x:c r="L257" s="20"/>
    </x:row>
    <x:row r="258" ht="22" customHeight="1">
      <x:c r="A258" s="20"/>
      <x:c r="B258" s="22"/>
      <x:c r="C258" s="20"/>
      <x:c r="D258" t="str">
        <x:f>IF(C258="","",IFERROR(VLOOKUP(C258,Customers!$A$6:$B$155,2,FALSE),"INVALID CUSTOMER ID"))</x:f>
      </x:c>
      <x:c r="E258" s="20"/>
      <x:c r="F258" t="str">
        <x:f>IF(E258="","",IFERROR(VLOOKUP(E258,Products!$A$6:$B$110,2,FALSE),"INVALID SKU"))</x:f>
      </x:c>
      <x:c r="G258" s="20"/>
      <x:c r="H258" s="24" t="str">
        <x:f>IF(E258="","",IFERROR(VLOOKUP(E258,Products!$A$6:$D$110,4,FALSE),""))</x:f>
      </x:c>
      <x:c r="I258" s="25"/>
      <x:c r="J258" s="24" t="str">
        <x:f>IF(OR(G258="",I258=""),"",G258*I258)</x:f>
      </x:c>
      <x:c r="K258" s="20"/>
      <x:c r="L258" s="20"/>
    </x:row>
    <x:row r="259" ht="22" customHeight="1">
      <x:c r="A259" s="20"/>
      <x:c r="B259" s="22"/>
      <x:c r="C259" s="20"/>
      <x:c r="D259" t="str">
        <x:f>IF(C259="","",IFERROR(VLOOKUP(C259,Customers!$A$6:$B$155,2,FALSE),"INVALID CUSTOMER ID"))</x:f>
      </x:c>
      <x:c r="E259" s="20"/>
      <x:c r="F259" t="str">
        <x:f>IF(E259="","",IFERROR(VLOOKUP(E259,Products!$A$6:$B$110,2,FALSE),"INVALID SKU"))</x:f>
      </x:c>
      <x:c r="G259" s="20"/>
      <x:c r="H259" s="24" t="str">
        <x:f>IF(E259="","",IFERROR(VLOOKUP(E259,Products!$A$6:$D$110,4,FALSE),""))</x:f>
      </x:c>
      <x:c r="I259" s="25"/>
      <x:c r="J259" s="24" t="str">
        <x:f>IF(OR(G259="",I259=""),"",G259*I259)</x:f>
      </x:c>
      <x:c r="K259" s="20"/>
      <x:c r="L259" s="20"/>
    </x:row>
    <x:row r="260" ht="22" customHeight="1">
      <x:c r="A260" s="20"/>
      <x:c r="B260" s="22"/>
      <x:c r="C260" s="20"/>
      <x:c r="D260" t="str">
        <x:f>IF(C260="","",IFERROR(VLOOKUP(C260,Customers!$A$6:$B$155,2,FALSE),"INVALID CUSTOMER ID"))</x:f>
      </x:c>
      <x:c r="E260" s="20"/>
      <x:c r="F260" t="str">
        <x:f>IF(E260="","",IFERROR(VLOOKUP(E260,Products!$A$6:$B$110,2,FALSE),"INVALID SKU"))</x:f>
      </x:c>
      <x:c r="G260" s="20"/>
      <x:c r="H260" s="24" t="str">
        <x:f>IF(E260="","",IFERROR(VLOOKUP(E260,Products!$A$6:$D$110,4,FALSE),""))</x:f>
      </x:c>
      <x:c r="I260" s="25"/>
      <x:c r="J260" s="24" t="str">
        <x:f>IF(OR(G260="",I260=""),"",G260*I260)</x:f>
      </x:c>
      <x:c r="K260" s="20"/>
      <x:c r="L260" s="20"/>
    </x:row>
    <x:row r="261" ht="22" customHeight="1">
      <x:c r="A261" s="20"/>
      <x:c r="B261" s="22"/>
      <x:c r="C261" s="20"/>
      <x:c r="D261" t="str">
        <x:f>IF(C261="","",IFERROR(VLOOKUP(C261,Customers!$A$6:$B$155,2,FALSE),"INVALID CUSTOMER ID"))</x:f>
      </x:c>
      <x:c r="E261" s="20"/>
      <x:c r="F261" t="str">
        <x:f>IF(E261="","",IFERROR(VLOOKUP(E261,Products!$A$6:$B$110,2,FALSE),"INVALID SKU"))</x:f>
      </x:c>
      <x:c r="G261" s="20"/>
      <x:c r="H261" s="24" t="str">
        <x:f>IF(E261="","",IFERROR(VLOOKUP(E261,Products!$A$6:$D$110,4,FALSE),""))</x:f>
      </x:c>
      <x:c r="I261" s="25"/>
      <x:c r="J261" s="24" t="str">
        <x:f>IF(OR(G261="",I261=""),"",G261*I261)</x:f>
      </x:c>
      <x:c r="K261" s="20"/>
      <x:c r="L261" s="20"/>
    </x:row>
    <x:row r="262" ht="22" customHeight="1">
      <x:c r="A262" s="20"/>
      <x:c r="B262" s="22"/>
      <x:c r="C262" s="20"/>
      <x:c r="D262" t="str">
        <x:f>IF(C262="","",IFERROR(VLOOKUP(C262,Customers!$A$6:$B$155,2,FALSE),"INVALID CUSTOMER ID"))</x:f>
      </x:c>
      <x:c r="E262" s="20"/>
      <x:c r="F262" t="str">
        <x:f>IF(E262="","",IFERROR(VLOOKUP(E262,Products!$A$6:$B$110,2,FALSE),"INVALID SKU"))</x:f>
      </x:c>
      <x:c r="G262" s="20"/>
      <x:c r="H262" s="24" t="str">
        <x:f>IF(E262="","",IFERROR(VLOOKUP(E262,Products!$A$6:$D$110,4,FALSE),""))</x:f>
      </x:c>
      <x:c r="I262" s="25"/>
      <x:c r="J262" s="24" t="str">
        <x:f>IF(OR(G262="",I262=""),"",G262*I262)</x:f>
      </x:c>
      <x:c r="K262" s="20"/>
      <x:c r="L262" s="20"/>
    </x:row>
    <x:row r="263" ht="22" customHeight="1">
      <x:c r="A263" s="20"/>
      <x:c r="B263" s="22"/>
      <x:c r="C263" s="20"/>
      <x:c r="D263" t="str">
        <x:f>IF(C263="","",IFERROR(VLOOKUP(C263,Customers!$A$6:$B$155,2,FALSE),"INVALID CUSTOMER ID"))</x:f>
      </x:c>
      <x:c r="E263" s="20"/>
      <x:c r="F263" t="str">
        <x:f>IF(E263="","",IFERROR(VLOOKUP(E263,Products!$A$6:$B$110,2,FALSE),"INVALID SKU"))</x:f>
      </x:c>
      <x:c r="G263" s="20"/>
      <x:c r="H263" s="24" t="str">
        <x:f>IF(E263="","",IFERROR(VLOOKUP(E263,Products!$A$6:$D$110,4,FALSE),""))</x:f>
      </x:c>
      <x:c r="I263" s="25"/>
      <x:c r="J263" s="24" t="str">
        <x:f>IF(OR(G263="",I263=""),"",G263*I263)</x:f>
      </x:c>
      <x:c r="K263" s="20"/>
      <x:c r="L263" s="20"/>
    </x:row>
    <x:row r="264" ht="22" customHeight="1">
      <x:c r="A264" s="20"/>
      <x:c r="B264" s="22"/>
      <x:c r="C264" s="20"/>
      <x:c r="D264" t="str">
        <x:f>IF(C264="","",IFERROR(VLOOKUP(C264,Customers!$A$6:$B$155,2,FALSE),"INVALID CUSTOMER ID"))</x:f>
      </x:c>
      <x:c r="E264" s="20"/>
      <x:c r="F264" t="str">
        <x:f>IF(E264="","",IFERROR(VLOOKUP(E264,Products!$A$6:$B$110,2,FALSE),"INVALID SKU"))</x:f>
      </x:c>
      <x:c r="G264" s="20"/>
      <x:c r="H264" s="24" t="str">
        <x:f>IF(E264="","",IFERROR(VLOOKUP(E264,Products!$A$6:$D$110,4,FALSE),""))</x:f>
      </x:c>
      <x:c r="I264" s="25"/>
      <x:c r="J264" s="24" t="str">
        <x:f>IF(OR(G264="",I264=""),"",G264*I264)</x:f>
      </x:c>
      <x:c r="K264" s="20"/>
      <x:c r="L264" s="20"/>
    </x:row>
    <x:row r="265" ht="22" customHeight="1">
      <x:c r="A265" s="20"/>
      <x:c r="B265" s="22"/>
      <x:c r="C265" s="20"/>
      <x:c r="D265" t="str">
        <x:f>IF(C265="","",IFERROR(VLOOKUP(C265,Customers!$A$6:$B$155,2,FALSE),"INVALID CUSTOMER ID"))</x:f>
      </x:c>
      <x:c r="E265" s="20"/>
      <x:c r="F265" t="str">
        <x:f>IF(E265="","",IFERROR(VLOOKUP(E265,Products!$A$6:$B$110,2,FALSE),"INVALID SKU"))</x:f>
      </x:c>
      <x:c r="G265" s="20"/>
      <x:c r="H265" s="24" t="str">
        <x:f>IF(E265="","",IFERROR(VLOOKUP(E265,Products!$A$6:$D$110,4,FALSE),""))</x:f>
      </x:c>
      <x:c r="I265" s="25"/>
      <x:c r="J265" s="24" t="str">
        <x:f>IF(OR(G265="",I265=""),"",G265*I265)</x:f>
      </x:c>
      <x:c r="K265" s="20"/>
      <x:c r="L265" s="20"/>
    </x:row>
    <x:row r="266" ht="22" customHeight="1">
      <x:c r="A266" s="20"/>
      <x:c r="B266" s="22"/>
      <x:c r="C266" s="20"/>
      <x:c r="D266" t="str">
        <x:f>IF(C266="","",IFERROR(VLOOKUP(C266,Customers!$A$6:$B$155,2,FALSE),"INVALID CUSTOMER ID"))</x:f>
      </x:c>
      <x:c r="E266" s="20"/>
      <x:c r="F266" t="str">
        <x:f>IF(E266="","",IFERROR(VLOOKUP(E266,Products!$A$6:$B$110,2,FALSE),"INVALID SKU"))</x:f>
      </x:c>
      <x:c r="G266" s="20"/>
      <x:c r="H266" s="24" t="str">
        <x:f>IF(E266="","",IFERROR(VLOOKUP(E266,Products!$A$6:$D$110,4,FALSE),""))</x:f>
      </x:c>
      <x:c r="I266" s="25"/>
      <x:c r="J266" s="24" t="str">
        <x:f>IF(OR(G266="",I266=""),"",G266*I266)</x:f>
      </x:c>
      <x:c r="K266" s="20"/>
      <x:c r="L266" s="20"/>
    </x:row>
    <x:row r="267" ht="22" customHeight="1">
      <x:c r="A267" s="20"/>
      <x:c r="B267" s="22"/>
      <x:c r="C267" s="20"/>
      <x:c r="D267" t="str">
        <x:f>IF(C267="","",IFERROR(VLOOKUP(C267,Customers!$A$6:$B$155,2,FALSE),"INVALID CUSTOMER ID"))</x:f>
      </x:c>
      <x:c r="E267" s="20"/>
      <x:c r="F267" t="str">
        <x:f>IF(E267="","",IFERROR(VLOOKUP(E267,Products!$A$6:$B$110,2,FALSE),"INVALID SKU"))</x:f>
      </x:c>
      <x:c r="G267" s="20"/>
      <x:c r="H267" s="24" t="str">
        <x:f>IF(E267="","",IFERROR(VLOOKUP(E267,Products!$A$6:$D$110,4,FALSE),""))</x:f>
      </x:c>
      <x:c r="I267" s="25"/>
      <x:c r="J267" s="24" t="str">
        <x:f>IF(OR(G267="",I267=""),"",G267*I267)</x:f>
      </x:c>
      <x:c r="K267" s="20"/>
      <x:c r="L267" s="20"/>
    </x:row>
    <x:row r="268" ht="22" customHeight="1">
      <x:c r="A268" s="20"/>
      <x:c r="B268" s="22"/>
      <x:c r="C268" s="20"/>
      <x:c r="D268" t="str">
        <x:f>IF(C268="","",IFERROR(VLOOKUP(C268,Customers!$A$6:$B$155,2,FALSE),"INVALID CUSTOMER ID"))</x:f>
      </x:c>
      <x:c r="E268" s="20"/>
      <x:c r="F268" t="str">
        <x:f>IF(E268="","",IFERROR(VLOOKUP(E268,Products!$A$6:$B$110,2,FALSE),"INVALID SKU"))</x:f>
      </x:c>
      <x:c r="G268" s="20"/>
      <x:c r="H268" s="24" t="str">
        <x:f>IF(E268="","",IFERROR(VLOOKUP(E268,Products!$A$6:$D$110,4,FALSE),""))</x:f>
      </x:c>
      <x:c r="I268" s="25"/>
      <x:c r="J268" s="24" t="str">
        <x:f>IF(OR(G268="",I268=""),"",G268*I268)</x:f>
      </x:c>
      <x:c r="K268" s="20"/>
      <x:c r="L268" s="20"/>
    </x:row>
    <x:row r="269" ht="22" customHeight="1">
      <x:c r="A269" s="20"/>
      <x:c r="B269" s="22"/>
      <x:c r="C269" s="20"/>
      <x:c r="D269" t="str">
        <x:f>IF(C269="","",IFERROR(VLOOKUP(C269,Customers!$A$6:$B$155,2,FALSE),"INVALID CUSTOMER ID"))</x:f>
      </x:c>
      <x:c r="E269" s="20"/>
      <x:c r="F269" t="str">
        <x:f>IF(E269="","",IFERROR(VLOOKUP(E269,Products!$A$6:$B$110,2,FALSE),"INVALID SKU"))</x:f>
      </x:c>
      <x:c r="G269" s="20"/>
      <x:c r="H269" s="24" t="str">
        <x:f>IF(E269="","",IFERROR(VLOOKUP(E269,Products!$A$6:$D$110,4,FALSE),""))</x:f>
      </x:c>
      <x:c r="I269" s="25"/>
      <x:c r="J269" s="24" t="str">
        <x:f>IF(OR(G269="",I269=""),"",G269*I269)</x:f>
      </x:c>
      <x:c r="K269" s="20"/>
      <x:c r="L269" s="20"/>
    </x:row>
    <x:row r="270" ht="22" customHeight="1">
      <x:c r="A270" s="20"/>
      <x:c r="B270" s="22"/>
      <x:c r="C270" s="20"/>
      <x:c r="D270" t="str">
        <x:f>IF(C270="","",IFERROR(VLOOKUP(C270,Customers!$A$6:$B$155,2,FALSE),"INVALID CUSTOMER ID"))</x:f>
      </x:c>
      <x:c r="E270" s="20"/>
      <x:c r="F270" t="str">
        <x:f>IF(E270="","",IFERROR(VLOOKUP(E270,Products!$A$6:$B$110,2,FALSE),"INVALID SKU"))</x:f>
      </x:c>
      <x:c r="G270" s="20"/>
      <x:c r="H270" s="24" t="str">
        <x:f>IF(E270="","",IFERROR(VLOOKUP(E270,Products!$A$6:$D$110,4,FALSE),""))</x:f>
      </x:c>
      <x:c r="I270" s="25"/>
      <x:c r="J270" s="24" t="str">
        <x:f>IF(OR(G270="",I270=""),"",G270*I270)</x:f>
      </x:c>
      <x:c r="K270" s="20"/>
      <x:c r="L270" s="20"/>
    </x:row>
    <x:row r="271" ht="22" customHeight="1">
      <x:c r="A271" s="20"/>
      <x:c r="B271" s="22"/>
      <x:c r="C271" s="20"/>
      <x:c r="D271" t="str">
        <x:f>IF(C271="","",IFERROR(VLOOKUP(C271,Customers!$A$6:$B$155,2,FALSE),"INVALID CUSTOMER ID"))</x:f>
      </x:c>
      <x:c r="E271" s="20"/>
      <x:c r="F271" t="str">
        <x:f>IF(E271="","",IFERROR(VLOOKUP(E271,Products!$A$6:$B$110,2,FALSE),"INVALID SKU"))</x:f>
      </x:c>
      <x:c r="G271" s="20"/>
      <x:c r="H271" s="24" t="str">
        <x:f>IF(E271="","",IFERROR(VLOOKUP(E271,Products!$A$6:$D$110,4,FALSE),""))</x:f>
      </x:c>
      <x:c r="I271" s="25"/>
      <x:c r="J271" s="24" t="str">
        <x:f>IF(OR(G271="",I271=""),"",G271*I271)</x:f>
      </x:c>
      <x:c r="K271" s="20"/>
      <x:c r="L271" s="20"/>
    </x:row>
    <x:row r="272" ht="22" customHeight="1">
      <x:c r="A272" s="20"/>
      <x:c r="B272" s="22"/>
      <x:c r="C272" s="20"/>
      <x:c r="D272" t="str">
        <x:f>IF(C272="","",IFERROR(VLOOKUP(C272,Customers!$A$6:$B$155,2,FALSE),"INVALID CUSTOMER ID"))</x:f>
      </x:c>
      <x:c r="E272" s="20"/>
      <x:c r="F272" t="str">
        <x:f>IF(E272="","",IFERROR(VLOOKUP(E272,Products!$A$6:$B$110,2,FALSE),"INVALID SKU"))</x:f>
      </x:c>
      <x:c r="G272" s="20"/>
      <x:c r="H272" s="24" t="str">
        <x:f>IF(E272="","",IFERROR(VLOOKUP(E272,Products!$A$6:$D$110,4,FALSE),""))</x:f>
      </x:c>
      <x:c r="I272" s="25"/>
      <x:c r="J272" s="24" t="str">
        <x:f>IF(OR(G272="",I272=""),"",G272*I272)</x:f>
      </x:c>
      <x:c r="K272" s="20"/>
      <x:c r="L272" s="20"/>
    </x:row>
    <x:row r="273" ht="22" customHeight="1">
      <x:c r="A273" s="20"/>
      <x:c r="B273" s="22"/>
      <x:c r="C273" s="20"/>
      <x:c r="D273" t="str">
        <x:f>IF(C273="","",IFERROR(VLOOKUP(C273,Customers!$A$6:$B$155,2,FALSE),"INVALID CUSTOMER ID"))</x:f>
      </x:c>
      <x:c r="E273" s="20"/>
      <x:c r="F273" t="str">
        <x:f>IF(E273="","",IFERROR(VLOOKUP(E273,Products!$A$6:$B$110,2,FALSE),"INVALID SKU"))</x:f>
      </x:c>
      <x:c r="G273" s="20"/>
      <x:c r="H273" s="24" t="str">
        <x:f>IF(E273="","",IFERROR(VLOOKUP(E273,Products!$A$6:$D$110,4,FALSE),""))</x:f>
      </x:c>
      <x:c r="I273" s="25"/>
      <x:c r="J273" s="24" t="str">
        <x:f>IF(OR(G273="",I273=""),"",G273*I273)</x:f>
      </x:c>
      <x:c r="K273" s="20"/>
      <x:c r="L273" s="20"/>
    </x:row>
    <x:row r="274" ht="22" customHeight="1">
      <x:c r="A274" s="20"/>
      <x:c r="B274" s="22"/>
      <x:c r="C274" s="20"/>
      <x:c r="D274" t="str">
        <x:f>IF(C274="","",IFERROR(VLOOKUP(C274,Customers!$A$6:$B$155,2,FALSE),"INVALID CUSTOMER ID"))</x:f>
      </x:c>
      <x:c r="E274" s="20"/>
      <x:c r="F274" t="str">
        <x:f>IF(E274="","",IFERROR(VLOOKUP(E274,Products!$A$6:$B$110,2,FALSE),"INVALID SKU"))</x:f>
      </x:c>
      <x:c r="G274" s="20"/>
      <x:c r="H274" s="24" t="str">
        <x:f>IF(E274="","",IFERROR(VLOOKUP(E274,Products!$A$6:$D$110,4,FALSE),""))</x:f>
      </x:c>
      <x:c r="I274" s="25"/>
      <x:c r="J274" s="24" t="str">
        <x:f>IF(OR(G274="",I274=""),"",G274*I274)</x:f>
      </x:c>
      <x:c r="K274" s="20"/>
      <x:c r="L274" s="20"/>
    </x:row>
    <x:row r="275" ht="22" customHeight="1">
      <x:c r="A275" s="20"/>
      <x:c r="B275" s="22"/>
      <x:c r="C275" s="20"/>
      <x:c r="D275" t="str">
        <x:f>IF(C275="","",IFERROR(VLOOKUP(C275,Customers!$A$6:$B$155,2,FALSE),"INVALID CUSTOMER ID"))</x:f>
      </x:c>
      <x:c r="E275" s="20"/>
      <x:c r="F275" t="str">
        <x:f>IF(E275="","",IFERROR(VLOOKUP(E275,Products!$A$6:$B$110,2,FALSE),"INVALID SKU"))</x:f>
      </x:c>
      <x:c r="G275" s="20"/>
      <x:c r="H275" s="24" t="str">
        <x:f>IF(E275="","",IFERROR(VLOOKUP(E275,Products!$A$6:$D$110,4,FALSE),""))</x:f>
      </x:c>
      <x:c r="I275" s="25"/>
      <x:c r="J275" s="24" t="str">
        <x:f>IF(OR(G275="",I275=""),"",G275*I275)</x:f>
      </x:c>
      <x:c r="K275" s="20"/>
      <x:c r="L275" s="20"/>
    </x:row>
    <x:row r="276" ht="22" customHeight="1">
      <x:c r="A276" s="20"/>
      <x:c r="B276" s="22"/>
      <x:c r="C276" s="20"/>
      <x:c r="D276" t="str">
        <x:f>IF(C276="","",IFERROR(VLOOKUP(C276,Customers!$A$6:$B$155,2,FALSE),"INVALID CUSTOMER ID"))</x:f>
      </x:c>
      <x:c r="E276" s="20"/>
      <x:c r="F276" t="str">
        <x:f>IF(E276="","",IFERROR(VLOOKUP(E276,Products!$A$6:$B$110,2,FALSE),"INVALID SKU"))</x:f>
      </x:c>
      <x:c r="G276" s="20"/>
      <x:c r="H276" s="24" t="str">
        <x:f>IF(E276="","",IFERROR(VLOOKUP(E276,Products!$A$6:$D$110,4,FALSE),""))</x:f>
      </x:c>
      <x:c r="I276" s="25"/>
      <x:c r="J276" s="24" t="str">
        <x:f>IF(OR(G276="",I276=""),"",G276*I276)</x:f>
      </x:c>
      <x:c r="K276" s="20"/>
      <x:c r="L276" s="20"/>
    </x:row>
    <x:row r="277" ht="22" customHeight="1">
      <x:c r="A277" s="20"/>
      <x:c r="B277" s="22"/>
      <x:c r="C277" s="20"/>
      <x:c r="D277" t="str">
        <x:f>IF(C277="","",IFERROR(VLOOKUP(C277,Customers!$A$6:$B$155,2,FALSE),"INVALID CUSTOMER ID"))</x:f>
      </x:c>
      <x:c r="E277" s="20"/>
      <x:c r="F277" t="str">
        <x:f>IF(E277="","",IFERROR(VLOOKUP(E277,Products!$A$6:$B$110,2,FALSE),"INVALID SKU"))</x:f>
      </x:c>
      <x:c r="G277" s="20"/>
      <x:c r="H277" s="24" t="str">
        <x:f>IF(E277="","",IFERROR(VLOOKUP(E277,Products!$A$6:$D$110,4,FALSE),""))</x:f>
      </x:c>
      <x:c r="I277" s="25"/>
      <x:c r="J277" s="24" t="str">
        <x:f>IF(OR(G277="",I277=""),"",G277*I277)</x:f>
      </x:c>
      <x:c r="K277" s="20"/>
      <x:c r="L277" s="20"/>
    </x:row>
    <x:row r="278" ht="22" customHeight="1">
      <x:c r="A278" s="20"/>
      <x:c r="B278" s="22"/>
      <x:c r="C278" s="20"/>
      <x:c r="D278" t="str">
        <x:f>IF(C278="","",IFERROR(VLOOKUP(C278,Customers!$A$6:$B$155,2,FALSE),"INVALID CUSTOMER ID"))</x:f>
      </x:c>
      <x:c r="E278" s="20"/>
      <x:c r="F278" t="str">
        <x:f>IF(E278="","",IFERROR(VLOOKUP(E278,Products!$A$6:$B$110,2,FALSE),"INVALID SKU"))</x:f>
      </x:c>
      <x:c r="G278" s="20"/>
      <x:c r="H278" s="24" t="str">
        <x:f>IF(E278="","",IFERROR(VLOOKUP(E278,Products!$A$6:$D$110,4,FALSE),""))</x:f>
      </x:c>
      <x:c r="I278" s="25"/>
      <x:c r="J278" s="24" t="str">
        <x:f>IF(OR(G278="",I278=""),"",G278*I278)</x:f>
      </x:c>
      <x:c r="K278" s="20"/>
      <x:c r="L278" s="20"/>
    </x:row>
    <x:row r="279" ht="22" customHeight="1">
      <x:c r="A279" s="20"/>
      <x:c r="B279" s="22"/>
      <x:c r="C279" s="20"/>
      <x:c r="D279" t="str">
        <x:f>IF(C279="","",IFERROR(VLOOKUP(C279,Customers!$A$6:$B$155,2,FALSE),"INVALID CUSTOMER ID"))</x:f>
      </x:c>
      <x:c r="E279" s="20"/>
      <x:c r="F279" t="str">
        <x:f>IF(E279="","",IFERROR(VLOOKUP(E279,Products!$A$6:$B$110,2,FALSE),"INVALID SKU"))</x:f>
      </x:c>
      <x:c r="G279" s="20"/>
      <x:c r="H279" s="24" t="str">
        <x:f>IF(E279="","",IFERROR(VLOOKUP(E279,Products!$A$6:$D$110,4,FALSE),""))</x:f>
      </x:c>
      <x:c r="I279" s="25"/>
      <x:c r="J279" s="24" t="str">
        <x:f>IF(OR(G279="",I279=""),"",G279*I279)</x:f>
      </x:c>
      <x:c r="K279" s="20"/>
      <x:c r="L279" s="20"/>
    </x:row>
    <x:row r="280" ht="22" customHeight="1">
      <x:c r="A280" s="20"/>
      <x:c r="B280" s="22"/>
      <x:c r="C280" s="20"/>
      <x:c r="D280" t="str">
        <x:f>IF(C280="","",IFERROR(VLOOKUP(C280,Customers!$A$6:$B$155,2,FALSE),"INVALID CUSTOMER ID"))</x:f>
      </x:c>
      <x:c r="E280" s="20"/>
      <x:c r="F280" t="str">
        <x:f>IF(E280="","",IFERROR(VLOOKUP(E280,Products!$A$6:$B$110,2,FALSE),"INVALID SKU"))</x:f>
      </x:c>
      <x:c r="G280" s="20"/>
      <x:c r="H280" s="24" t="str">
        <x:f>IF(E280="","",IFERROR(VLOOKUP(E280,Products!$A$6:$D$110,4,FALSE),""))</x:f>
      </x:c>
      <x:c r="I280" s="25"/>
      <x:c r="J280" s="24" t="str">
        <x:f>IF(OR(G280="",I280=""),"",G280*I280)</x:f>
      </x:c>
      <x:c r="K280" s="20"/>
      <x:c r="L280" s="20"/>
    </x:row>
    <x:row r="281" ht="22" customHeight="1">
      <x:c r="A281" s="20"/>
      <x:c r="B281" s="22"/>
      <x:c r="C281" s="20"/>
      <x:c r="D281" t="str">
        <x:f>IF(C281="","",IFERROR(VLOOKUP(C281,Customers!$A$6:$B$155,2,FALSE),"INVALID CUSTOMER ID"))</x:f>
      </x:c>
      <x:c r="E281" s="20"/>
      <x:c r="F281" t="str">
        <x:f>IF(E281="","",IFERROR(VLOOKUP(E281,Products!$A$6:$B$110,2,FALSE),"INVALID SKU"))</x:f>
      </x:c>
      <x:c r="G281" s="20"/>
      <x:c r="H281" s="24" t="str">
        <x:f>IF(E281="","",IFERROR(VLOOKUP(E281,Products!$A$6:$D$110,4,FALSE),""))</x:f>
      </x:c>
      <x:c r="I281" s="25"/>
      <x:c r="J281" s="24" t="str">
        <x:f>IF(OR(G281="",I281=""),"",G281*I281)</x:f>
      </x:c>
      <x:c r="K281" s="20"/>
      <x:c r="L281" s="20"/>
    </x:row>
    <x:row r="282" ht="22" customHeight="1">
      <x:c r="A282" s="20"/>
      <x:c r="B282" s="22"/>
      <x:c r="C282" s="20"/>
      <x:c r="D282" t="str">
        <x:f>IF(C282="","",IFERROR(VLOOKUP(C282,Customers!$A$6:$B$155,2,FALSE),"INVALID CUSTOMER ID"))</x:f>
      </x:c>
      <x:c r="E282" s="20"/>
      <x:c r="F282" t="str">
        <x:f>IF(E282="","",IFERROR(VLOOKUP(E282,Products!$A$6:$B$110,2,FALSE),"INVALID SKU"))</x:f>
      </x:c>
      <x:c r="G282" s="20"/>
      <x:c r="H282" s="24" t="str">
        <x:f>IF(E282="","",IFERROR(VLOOKUP(E282,Products!$A$6:$D$110,4,FALSE),""))</x:f>
      </x:c>
      <x:c r="I282" s="25"/>
      <x:c r="J282" s="24" t="str">
        <x:f>IF(OR(G282="",I282=""),"",G282*I282)</x:f>
      </x:c>
      <x:c r="K282" s="20"/>
      <x:c r="L282" s="20"/>
    </x:row>
    <x:row r="283" ht="22" customHeight="1">
      <x:c r="A283" s="20"/>
      <x:c r="B283" s="22"/>
      <x:c r="C283" s="20"/>
      <x:c r="D283" t="str">
        <x:f>IF(C283="","",IFERROR(VLOOKUP(C283,Customers!$A$6:$B$155,2,FALSE),"INVALID CUSTOMER ID"))</x:f>
      </x:c>
      <x:c r="E283" s="20"/>
      <x:c r="F283" t="str">
        <x:f>IF(E283="","",IFERROR(VLOOKUP(E283,Products!$A$6:$B$110,2,FALSE),"INVALID SKU"))</x:f>
      </x:c>
      <x:c r="G283" s="20"/>
      <x:c r="H283" s="24" t="str">
        <x:f>IF(E283="","",IFERROR(VLOOKUP(E283,Products!$A$6:$D$110,4,FALSE),""))</x:f>
      </x:c>
      <x:c r="I283" s="25"/>
      <x:c r="J283" s="24" t="str">
        <x:f>IF(OR(G283="",I283=""),"",G283*I283)</x:f>
      </x:c>
      <x:c r="K283" s="20"/>
      <x:c r="L283" s="20"/>
    </x:row>
    <x:row r="284" ht="22" customHeight="1">
      <x:c r="A284" s="20"/>
      <x:c r="B284" s="22"/>
      <x:c r="C284" s="20"/>
      <x:c r="D284" t="str">
        <x:f>IF(C284="","",IFERROR(VLOOKUP(C284,Customers!$A$6:$B$155,2,FALSE),"INVALID CUSTOMER ID"))</x:f>
      </x:c>
      <x:c r="E284" s="20"/>
      <x:c r="F284" t="str">
        <x:f>IF(E284="","",IFERROR(VLOOKUP(E284,Products!$A$6:$B$110,2,FALSE),"INVALID SKU"))</x:f>
      </x:c>
      <x:c r="G284" s="20"/>
      <x:c r="H284" s="24" t="str">
        <x:f>IF(E284="","",IFERROR(VLOOKUP(E284,Products!$A$6:$D$110,4,FALSE),""))</x:f>
      </x:c>
      <x:c r="I284" s="25"/>
      <x:c r="J284" s="24" t="str">
        <x:f>IF(OR(G284="",I284=""),"",G284*I284)</x:f>
      </x:c>
      <x:c r="K284" s="20"/>
      <x:c r="L284" s="20"/>
    </x:row>
    <x:row r="285" ht="22" customHeight="1">
      <x:c r="A285" s="20"/>
      <x:c r="B285" s="22"/>
      <x:c r="C285" s="20"/>
      <x:c r="D285" t="str">
        <x:f>IF(C285="","",IFERROR(VLOOKUP(C285,Customers!$A$6:$B$155,2,FALSE),"INVALID CUSTOMER ID"))</x:f>
      </x:c>
      <x:c r="E285" s="20"/>
      <x:c r="F285" t="str">
        <x:f>IF(E285="","",IFERROR(VLOOKUP(E285,Products!$A$6:$B$110,2,FALSE),"INVALID SKU"))</x:f>
      </x:c>
      <x:c r="G285" s="20"/>
      <x:c r="H285" s="24" t="str">
        <x:f>IF(E285="","",IFERROR(VLOOKUP(E285,Products!$A$6:$D$110,4,FALSE),""))</x:f>
      </x:c>
      <x:c r="I285" s="25"/>
      <x:c r="J285" s="24" t="str">
        <x:f>IF(OR(G285="",I285=""),"",G285*I285)</x:f>
      </x:c>
      <x:c r="K285" s="20"/>
      <x:c r="L285" s="20"/>
    </x:row>
    <x:row r="286" ht="22" customHeight="1">
      <x:c r="A286" s="20"/>
      <x:c r="B286" s="22"/>
      <x:c r="C286" s="20"/>
      <x:c r="D286" t="str">
        <x:f>IF(C286="","",IFERROR(VLOOKUP(C286,Customers!$A$6:$B$155,2,FALSE),"INVALID CUSTOMER ID"))</x:f>
      </x:c>
      <x:c r="E286" s="20"/>
      <x:c r="F286" t="str">
        <x:f>IF(E286="","",IFERROR(VLOOKUP(E286,Products!$A$6:$B$110,2,FALSE),"INVALID SKU"))</x:f>
      </x:c>
      <x:c r="G286" s="20"/>
      <x:c r="H286" s="24" t="str">
        <x:f>IF(E286="","",IFERROR(VLOOKUP(E286,Products!$A$6:$D$110,4,FALSE),""))</x:f>
      </x:c>
      <x:c r="I286" s="25"/>
      <x:c r="J286" s="24" t="str">
        <x:f>IF(OR(G286="",I286=""),"",G286*I286)</x:f>
      </x:c>
      <x:c r="K286" s="20"/>
      <x:c r="L286" s="20"/>
    </x:row>
    <x:row r="287" ht="22" customHeight="1">
      <x:c r="A287" s="20"/>
      <x:c r="B287" s="22"/>
      <x:c r="C287" s="20"/>
      <x:c r="D287" t="str">
        <x:f>IF(C287="","",IFERROR(VLOOKUP(C287,Customers!$A$6:$B$155,2,FALSE),"INVALID CUSTOMER ID"))</x:f>
      </x:c>
      <x:c r="E287" s="20"/>
      <x:c r="F287" t="str">
        <x:f>IF(E287="","",IFERROR(VLOOKUP(E287,Products!$A$6:$B$110,2,FALSE),"INVALID SKU"))</x:f>
      </x:c>
      <x:c r="G287" s="20"/>
      <x:c r="H287" s="24" t="str">
        <x:f>IF(E287="","",IFERROR(VLOOKUP(E287,Products!$A$6:$D$110,4,FALSE),""))</x:f>
      </x:c>
      <x:c r="I287" s="25"/>
      <x:c r="J287" s="24" t="str">
        <x:f>IF(OR(G287="",I287=""),"",G287*I287)</x:f>
      </x:c>
      <x:c r="K287" s="20"/>
      <x:c r="L287" s="20"/>
    </x:row>
    <x:row r="288" ht="22" customHeight="1">
      <x:c r="A288" s="20"/>
      <x:c r="B288" s="22"/>
      <x:c r="C288" s="20"/>
      <x:c r="D288" t="str">
        <x:f>IF(C288="","",IFERROR(VLOOKUP(C288,Customers!$A$6:$B$155,2,FALSE),"INVALID CUSTOMER ID"))</x:f>
      </x:c>
      <x:c r="E288" s="20"/>
      <x:c r="F288" t="str">
        <x:f>IF(E288="","",IFERROR(VLOOKUP(E288,Products!$A$6:$B$110,2,FALSE),"INVALID SKU"))</x:f>
      </x:c>
      <x:c r="G288" s="20"/>
      <x:c r="H288" s="24" t="str">
        <x:f>IF(E288="","",IFERROR(VLOOKUP(E288,Products!$A$6:$D$110,4,FALSE),""))</x:f>
      </x:c>
      <x:c r="I288" s="25"/>
      <x:c r="J288" s="24" t="str">
        <x:f>IF(OR(G288="",I288=""),"",G288*I288)</x:f>
      </x:c>
      <x:c r="K288" s="20"/>
      <x:c r="L288" s="20"/>
    </x:row>
    <x:row r="289" ht="22" customHeight="1">
      <x:c r="A289" s="20"/>
      <x:c r="B289" s="22"/>
      <x:c r="C289" s="20"/>
      <x:c r="D289" t="str">
        <x:f>IF(C289="","",IFERROR(VLOOKUP(C289,Customers!$A$6:$B$155,2,FALSE),"INVALID CUSTOMER ID"))</x:f>
      </x:c>
      <x:c r="E289" s="20"/>
      <x:c r="F289" t="str">
        <x:f>IF(E289="","",IFERROR(VLOOKUP(E289,Products!$A$6:$B$110,2,FALSE),"INVALID SKU"))</x:f>
      </x:c>
      <x:c r="G289" s="20"/>
      <x:c r="H289" s="24" t="str">
        <x:f>IF(E289="","",IFERROR(VLOOKUP(E289,Products!$A$6:$D$110,4,FALSE),""))</x:f>
      </x:c>
      <x:c r="I289" s="25"/>
      <x:c r="J289" s="24" t="str">
        <x:f>IF(OR(G289="",I289=""),"",G289*I289)</x:f>
      </x:c>
      <x:c r="K289" s="20"/>
      <x:c r="L289" s="20"/>
    </x:row>
    <x:row r="290" ht="22" customHeight="1">
      <x:c r="A290" s="20"/>
      <x:c r="B290" s="22"/>
      <x:c r="C290" s="20"/>
      <x:c r="D290" t="str">
        <x:f>IF(C290="","",IFERROR(VLOOKUP(C290,Customers!$A$6:$B$155,2,FALSE),"INVALID CUSTOMER ID"))</x:f>
      </x:c>
      <x:c r="E290" s="20"/>
      <x:c r="F290" t="str">
        <x:f>IF(E290="","",IFERROR(VLOOKUP(E290,Products!$A$6:$B$110,2,FALSE),"INVALID SKU"))</x:f>
      </x:c>
      <x:c r="G290" s="20"/>
      <x:c r="H290" s="24" t="str">
        <x:f>IF(E290="","",IFERROR(VLOOKUP(E290,Products!$A$6:$D$110,4,FALSE),""))</x:f>
      </x:c>
      <x:c r="I290" s="25"/>
      <x:c r="J290" s="24" t="str">
        <x:f>IF(OR(G290="",I290=""),"",G290*I290)</x:f>
      </x:c>
      <x:c r="K290" s="20"/>
      <x:c r="L290" s="20"/>
    </x:row>
    <x:row r="291" ht="22" customHeight="1">
      <x:c r="A291" s="20"/>
      <x:c r="B291" s="22"/>
      <x:c r="C291" s="20"/>
      <x:c r="D291" t="str">
        <x:f>IF(C291="","",IFERROR(VLOOKUP(C291,Customers!$A$6:$B$155,2,FALSE),"INVALID CUSTOMER ID"))</x:f>
      </x:c>
      <x:c r="E291" s="20"/>
      <x:c r="F291" t="str">
        <x:f>IF(E291="","",IFERROR(VLOOKUP(E291,Products!$A$6:$B$110,2,FALSE),"INVALID SKU"))</x:f>
      </x:c>
      <x:c r="G291" s="20"/>
      <x:c r="H291" s="24" t="str">
        <x:f>IF(E291="","",IFERROR(VLOOKUP(E291,Products!$A$6:$D$110,4,FALSE),""))</x:f>
      </x:c>
      <x:c r="I291" s="25"/>
      <x:c r="J291" s="24" t="str">
        <x:f>IF(OR(G291="",I291=""),"",G291*I291)</x:f>
      </x:c>
      <x:c r="K291" s="20"/>
      <x:c r="L291" s="20"/>
    </x:row>
    <x:row r="292" ht="22" customHeight="1">
      <x:c r="A292" s="20"/>
      <x:c r="B292" s="22"/>
      <x:c r="C292" s="20"/>
      <x:c r="D292" t="str">
        <x:f>IF(C292="","",IFERROR(VLOOKUP(C292,Customers!$A$6:$B$155,2,FALSE),"INVALID CUSTOMER ID"))</x:f>
      </x:c>
      <x:c r="E292" s="20"/>
      <x:c r="F292" t="str">
        <x:f>IF(E292="","",IFERROR(VLOOKUP(E292,Products!$A$6:$B$110,2,FALSE),"INVALID SKU"))</x:f>
      </x:c>
      <x:c r="G292" s="20"/>
      <x:c r="H292" s="24" t="str">
        <x:f>IF(E292="","",IFERROR(VLOOKUP(E292,Products!$A$6:$D$110,4,FALSE),""))</x:f>
      </x:c>
      <x:c r="I292" s="25"/>
      <x:c r="J292" s="24" t="str">
        <x:f>IF(OR(G292="",I292=""),"",G292*I292)</x:f>
      </x:c>
      <x:c r="K292" s="20"/>
      <x:c r="L292" s="20"/>
    </x:row>
    <x:row r="293" ht="22" customHeight="1">
      <x:c r="A293" s="20"/>
      <x:c r="B293" s="22"/>
      <x:c r="C293" s="20"/>
      <x:c r="D293" t="str">
        <x:f>IF(C293="","",IFERROR(VLOOKUP(C293,Customers!$A$6:$B$155,2,FALSE),"INVALID CUSTOMER ID"))</x:f>
      </x:c>
      <x:c r="E293" s="20"/>
      <x:c r="F293" t="str">
        <x:f>IF(E293="","",IFERROR(VLOOKUP(E293,Products!$A$6:$B$110,2,FALSE),"INVALID SKU"))</x:f>
      </x:c>
      <x:c r="G293" s="20"/>
      <x:c r="H293" s="24" t="str">
        <x:f>IF(E293="","",IFERROR(VLOOKUP(E293,Products!$A$6:$D$110,4,FALSE),""))</x:f>
      </x:c>
      <x:c r="I293" s="25"/>
      <x:c r="J293" s="24" t="str">
        <x:f>IF(OR(G293="",I293=""),"",G293*I293)</x:f>
      </x:c>
      <x:c r="K293" s="20"/>
      <x:c r="L293" s="20"/>
    </x:row>
    <x:row r="294" ht="22" customHeight="1">
      <x:c r="A294" s="20"/>
      <x:c r="B294" s="22"/>
      <x:c r="C294" s="20"/>
      <x:c r="D294" t="str">
        <x:f>IF(C294="","",IFERROR(VLOOKUP(C294,Customers!$A$6:$B$155,2,FALSE),"INVALID CUSTOMER ID"))</x:f>
      </x:c>
      <x:c r="E294" s="20"/>
      <x:c r="F294" t="str">
        <x:f>IF(E294="","",IFERROR(VLOOKUP(E294,Products!$A$6:$B$110,2,FALSE),"INVALID SKU"))</x:f>
      </x:c>
      <x:c r="G294" s="20"/>
      <x:c r="H294" s="24" t="str">
        <x:f>IF(E294="","",IFERROR(VLOOKUP(E294,Products!$A$6:$D$110,4,FALSE),""))</x:f>
      </x:c>
      <x:c r="I294" s="25"/>
      <x:c r="J294" s="24" t="str">
        <x:f>IF(OR(G294="",I294=""),"",G294*I294)</x:f>
      </x:c>
      <x:c r="K294" s="20"/>
      <x:c r="L294" s="20"/>
    </x:row>
    <x:row r="295" ht="22" customHeight="1">
      <x:c r="A295" s="20"/>
      <x:c r="B295" s="22"/>
      <x:c r="C295" s="20"/>
      <x:c r="D295" t="str">
        <x:f>IF(C295="","",IFERROR(VLOOKUP(C295,Customers!$A$6:$B$155,2,FALSE),"INVALID CUSTOMER ID"))</x:f>
      </x:c>
      <x:c r="E295" s="20"/>
      <x:c r="F295" t="str">
        <x:f>IF(E295="","",IFERROR(VLOOKUP(E295,Products!$A$6:$B$110,2,FALSE),"INVALID SKU"))</x:f>
      </x:c>
      <x:c r="G295" s="20"/>
      <x:c r="H295" s="24" t="str">
        <x:f>IF(E295="","",IFERROR(VLOOKUP(E295,Products!$A$6:$D$110,4,FALSE),""))</x:f>
      </x:c>
      <x:c r="I295" s="25"/>
      <x:c r="J295" s="24" t="str">
        <x:f>IF(OR(G295="",I295=""),"",G295*I295)</x:f>
      </x:c>
      <x:c r="K295" s="20"/>
      <x:c r="L295" s="20"/>
    </x:row>
    <x:row r="296" ht="22" customHeight="1">
      <x:c r="A296" s="20"/>
      <x:c r="B296" s="22"/>
      <x:c r="C296" s="20"/>
      <x:c r="D296" t="str">
        <x:f>IF(C296="","",IFERROR(VLOOKUP(C296,Customers!$A$6:$B$155,2,FALSE),"INVALID CUSTOMER ID"))</x:f>
      </x:c>
      <x:c r="E296" s="20"/>
      <x:c r="F296" t="str">
        <x:f>IF(E296="","",IFERROR(VLOOKUP(E296,Products!$A$6:$B$110,2,FALSE),"INVALID SKU"))</x:f>
      </x:c>
      <x:c r="G296" s="20"/>
      <x:c r="H296" s="24" t="str">
        <x:f>IF(E296="","",IFERROR(VLOOKUP(E296,Products!$A$6:$D$110,4,FALSE),""))</x:f>
      </x:c>
      <x:c r="I296" s="25"/>
      <x:c r="J296" s="24" t="str">
        <x:f>IF(OR(G296="",I296=""),"",G296*I296)</x:f>
      </x:c>
      <x:c r="K296" s="20"/>
      <x:c r="L296" s="20"/>
    </x:row>
    <x:row r="297" ht="22" customHeight="1">
      <x:c r="A297" s="20"/>
      <x:c r="B297" s="22"/>
      <x:c r="C297" s="20"/>
      <x:c r="D297" t="str">
        <x:f>IF(C297="","",IFERROR(VLOOKUP(C297,Customers!$A$6:$B$155,2,FALSE),"INVALID CUSTOMER ID"))</x:f>
      </x:c>
      <x:c r="E297" s="20"/>
      <x:c r="F297" t="str">
        <x:f>IF(E297="","",IFERROR(VLOOKUP(E297,Products!$A$6:$B$110,2,FALSE),"INVALID SKU"))</x:f>
      </x:c>
      <x:c r="G297" s="20"/>
      <x:c r="H297" s="24" t="str">
        <x:f>IF(E297="","",IFERROR(VLOOKUP(E297,Products!$A$6:$D$110,4,FALSE),""))</x:f>
      </x:c>
      <x:c r="I297" s="25"/>
      <x:c r="J297" s="24" t="str">
        <x:f>IF(OR(G297="",I297=""),"",G297*I297)</x:f>
      </x:c>
      <x:c r="K297" s="20"/>
      <x:c r="L297" s="20"/>
    </x:row>
    <x:row r="298" ht="22" customHeight="1">
      <x:c r="A298" s="20"/>
      <x:c r="B298" s="22"/>
      <x:c r="C298" s="20"/>
      <x:c r="D298" t="str">
        <x:f>IF(C298="","",IFERROR(VLOOKUP(C298,Customers!$A$6:$B$155,2,FALSE),"INVALID CUSTOMER ID"))</x:f>
      </x:c>
      <x:c r="E298" s="20"/>
      <x:c r="F298" t="str">
        <x:f>IF(E298="","",IFERROR(VLOOKUP(E298,Products!$A$6:$B$110,2,FALSE),"INVALID SKU"))</x:f>
      </x:c>
      <x:c r="G298" s="20"/>
      <x:c r="H298" s="24" t="str">
        <x:f>IF(E298="","",IFERROR(VLOOKUP(E298,Products!$A$6:$D$110,4,FALSE),""))</x:f>
      </x:c>
      <x:c r="I298" s="25"/>
      <x:c r="J298" s="24" t="str">
        <x:f>IF(OR(G298="",I298=""),"",G298*I298)</x:f>
      </x:c>
      <x:c r="K298" s="20"/>
      <x:c r="L298" s="20"/>
    </x:row>
    <x:row r="299" ht="22" customHeight="1">
      <x:c r="A299" s="20"/>
      <x:c r="B299" s="22"/>
      <x:c r="C299" s="20"/>
      <x:c r="D299" t="str">
        <x:f>IF(C299="","",IFERROR(VLOOKUP(C299,Customers!$A$6:$B$155,2,FALSE),"INVALID CUSTOMER ID"))</x:f>
      </x:c>
      <x:c r="E299" s="20"/>
      <x:c r="F299" t="str">
        <x:f>IF(E299="","",IFERROR(VLOOKUP(E299,Products!$A$6:$B$110,2,FALSE),"INVALID SKU"))</x:f>
      </x:c>
      <x:c r="G299" s="20"/>
      <x:c r="H299" s="24" t="str">
        <x:f>IF(E299="","",IFERROR(VLOOKUP(E299,Products!$A$6:$D$110,4,FALSE),""))</x:f>
      </x:c>
      <x:c r="I299" s="25"/>
      <x:c r="J299" s="24" t="str">
        <x:f>IF(OR(G299="",I299=""),"",G299*I299)</x:f>
      </x:c>
      <x:c r="K299" s="20"/>
      <x:c r="L299" s="20"/>
    </x:row>
    <x:row r="300" ht="22" customHeight="1">
      <x:c r="A300" s="20"/>
      <x:c r="B300" s="22"/>
      <x:c r="C300" s="20"/>
      <x:c r="D300" t="str">
        <x:f>IF(C300="","",IFERROR(VLOOKUP(C300,Customers!$A$6:$B$155,2,FALSE),"INVALID CUSTOMER ID"))</x:f>
      </x:c>
      <x:c r="E300" s="20"/>
      <x:c r="F300" t="str">
        <x:f>IF(E300="","",IFERROR(VLOOKUP(E300,Products!$A$6:$B$110,2,FALSE),"INVALID SKU"))</x:f>
      </x:c>
      <x:c r="G300" s="20"/>
      <x:c r="H300" s="24" t="str">
        <x:f>IF(E300="","",IFERROR(VLOOKUP(E300,Products!$A$6:$D$110,4,FALSE),""))</x:f>
      </x:c>
      <x:c r="I300" s="25"/>
      <x:c r="J300" s="24" t="str">
        <x:f>IF(OR(G300="",I300=""),"",G300*I300)</x:f>
      </x:c>
      <x:c r="K300" s="20"/>
      <x:c r="L300" s="20"/>
    </x:row>
    <x:row r="301" ht="22" customHeight="1">
      <x:c r="A301" s="20"/>
      <x:c r="B301" s="22"/>
      <x:c r="C301" s="20"/>
      <x:c r="D301" t="str">
        <x:f>IF(C301="","",IFERROR(VLOOKUP(C301,Customers!$A$6:$B$155,2,FALSE),"INVALID CUSTOMER ID"))</x:f>
      </x:c>
      <x:c r="E301" s="20"/>
      <x:c r="F301" t="str">
        <x:f>IF(E301="","",IFERROR(VLOOKUP(E301,Products!$A$6:$B$110,2,FALSE),"INVALID SKU"))</x:f>
      </x:c>
      <x:c r="G301" s="20"/>
      <x:c r="H301" s="24" t="str">
        <x:f>IF(E301="","",IFERROR(VLOOKUP(E301,Products!$A$6:$D$110,4,FALSE),""))</x:f>
      </x:c>
      <x:c r="I301" s="25"/>
      <x:c r="J301" s="24" t="str">
        <x:f>IF(OR(G301="",I301=""),"",G301*I301)</x:f>
      </x:c>
      <x:c r="K301" s="20"/>
      <x:c r="L301" s="20"/>
    </x:row>
    <x:row r="302" ht="22" customHeight="1">
      <x:c r="A302" s="20"/>
      <x:c r="B302" s="22"/>
      <x:c r="C302" s="20"/>
      <x:c r="D302" t="str">
        <x:f>IF(C302="","",IFERROR(VLOOKUP(C302,Customers!$A$6:$B$155,2,FALSE),"INVALID CUSTOMER ID"))</x:f>
      </x:c>
      <x:c r="E302" s="20"/>
      <x:c r="F302" t="str">
        <x:f>IF(E302="","",IFERROR(VLOOKUP(E302,Products!$A$6:$B$110,2,FALSE),"INVALID SKU"))</x:f>
      </x:c>
      <x:c r="G302" s="20"/>
      <x:c r="H302" s="24" t="str">
        <x:f>IF(E302="","",IFERROR(VLOOKUP(E302,Products!$A$6:$D$110,4,FALSE),""))</x:f>
      </x:c>
      <x:c r="I302" s="25"/>
      <x:c r="J302" s="24" t="str">
        <x:f>IF(OR(G302="",I302=""),"",G302*I302)</x:f>
      </x:c>
      <x:c r="K302" s="20"/>
      <x:c r="L302" s="20"/>
    </x:row>
    <x:row r="303" ht="22" customHeight="1">
      <x:c r="A303" s="20"/>
      <x:c r="B303" s="22"/>
      <x:c r="C303" s="20"/>
      <x:c r="D303" t="str">
        <x:f>IF(C303="","",IFERROR(VLOOKUP(C303,Customers!$A$6:$B$155,2,FALSE),"INVALID CUSTOMER ID"))</x:f>
      </x:c>
      <x:c r="E303" s="20"/>
      <x:c r="F303" t="str">
        <x:f>IF(E303="","",IFERROR(VLOOKUP(E303,Products!$A$6:$B$110,2,FALSE),"INVALID SKU"))</x:f>
      </x:c>
      <x:c r="G303" s="20"/>
      <x:c r="H303" s="24" t="str">
        <x:f>IF(E303="","",IFERROR(VLOOKUP(E303,Products!$A$6:$D$110,4,FALSE),""))</x:f>
      </x:c>
      <x:c r="I303" s="25"/>
      <x:c r="J303" s="24" t="str">
        <x:f>IF(OR(G303="",I303=""),"",G303*I303)</x:f>
      </x:c>
      <x:c r="K303" s="20"/>
      <x:c r="L303" s="20"/>
    </x:row>
    <x:row r="304" ht="22" customHeight="1">
      <x:c r="A304" s="20"/>
      <x:c r="B304" s="22"/>
      <x:c r="C304" s="20"/>
      <x:c r="D304" t="str">
        <x:f>IF(C304="","",IFERROR(VLOOKUP(C304,Customers!$A$6:$B$155,2,FALSE),"INVALID CUSTOMER ID"))</x:f>
      </x:c>
      <x:c r="E304" s="20"/>
      <x:c r="F304" t="str">
        <x:f>IF(E304="","",IFERROR(VLOOKUP(E304,Products!$A$6:$B$110,2,FALSE),"INVALID SKU"))</x:f>
      </x:c>
      <x:c r="G304" s="20"/>
      <x:c r="H304" s="24" t="str">
        <x:f>IF(E304="","",IFERROR(VLOOKUP(E304,Products!$A$6:$D$110,4,FALSE),""))</x:f>
      </x:c>
      <x:c r="I304" s="25"/>
      <x:c r="J304" s="24" t="str">
        <x:f>IF(OR(G304="",I304=""),"",G304*I304)</x:f>
      </x:c>
      <x:c r="K304" s="20"/>
      <x:c r="L304" s="20"/>
    </x:row>
    <x:row r="305" ht="22" customHeight="1">
      <x:c r="A305" s="20"/>
      <x:c r="B305" s="22"/>
      <x:c r="C305" s="20"/>
      <x:c r="D305" t="str">
        <x:f>IF(C305="","",IFERROR(VLOOKUP(C305,Customers!$A$6:$B$155,2,FALSE),"INVALID CUSTOMER ID"))</x:f>
      </x:c>
      <x:c r="E305" s="20"/>
      <x:c r="F305" t="str">
        <x:f>IF(E305="","",IFERROR(VLOOKUP(E305,Products!$A$6:$B$110,2,FALSE),"INVALID SKU"))</x:f>
      </x:c>
      <x:c r="G305" s="20"/>
      <x:c r="H305" s="24" t="str">
        <x:f>IF(E305="","",IFERROR(VLOOKUP(E305,Products!$A$6:$D$110,4,FALSE),""))</x:f>
      </x:c>
      <x:c r="I305" s="25"/>
      <x:c r="J305" s="24" t="str">
        <x:f>IF(OR(G305="",I305=""),"",G305*I305)</x:f>
      </x:c>
      <x:c r="K305" s="20"/>
      <x:c r="L305" s="20"/>
    </x:row>
    <x:row r="306" ht="22" customHeight="1">
      <x:c r="A306" s="20"/>
      <x:c r="B306" s="22"/>
      <x:c r="C306" s="20"/>
      <x:c r="D306" t="str">
        <x:f>IF(C306="","",IFERROR(VLOOKUP(C306,Customers!$A$6:$B$155,2,FALSE),"INVALID CUSTOMER ID"))</x:f>
      </x:c>
      <x:c r="E306" s="20"/>
      <x:c r="F306" t="str">
        <x:f>IF(E306="","",IFERROR(VLOOKUP(E306,Products!$A$6:$B$110,2,FALSE),"INVALID SKU"))</x:f>
      </x:c>
      <x:c r="G306" s="20"/>
      <x:c r="H306" s="24" t="str">
        <x:f>IF(E306="","",IFERROR(VLOOKUP(E306,Products!$A$6:$D$110,4,FALSE),""))</x:f>
      </x:c>
      <x:c r="I306" s="25"/>
      <x:c r="J306" s="24" t="str">
        <x:f>IF(OR(G306="",I306=""),"",G306*I306)</x:f>
      </x:c>
      <x:c r="K306" s="20"/>
      <x:c r="L306" s="20"/>
    </x:row>
    <x:row r="307" ht="22" customHeight="1">
      <x:c r="A307" s="20"/>
      <x:c r="B307" s="22"/>
      <x:c r="C307" s="20"/>
      <x:c r="D307" t="str">
        <x:f>IF(C307="","",IFERROR(VLOOKUP(C307,Customers!$A$6:$B$155,2,FALSE),"INVALID CUSTOMER ID"))</x:f>
      </x:c>
      <x:c r="E307" s="20"/>
      <x:c r="F307" t="str">
        <x:f>IF(E307="","",IFERROR(VLOOKUP(E307,Products!$A$6:$B$110,2,FALSE),"INVALID SKU"))</x:f>
      </x:c>
      <x:c r="G307" s="20"/>
      <x:c r="H307" s="24" t="str">
        <x:f>IF(E307="","",IFERROR(VLOOKUP(E307,Products!$A$6:$D$110,4,FALSE),""))</x:f>
      </x:c>
      <x:c r="I307" s="25"/>
      <x:c r="J307" s="24" t="str">
        <x:f>IF(OR(G307="",I307=""),"",G307*I307)</x:f>
      </x:c>
      <x:c r="K307" s="20"/>
      <x:c r="L307" s="20"/>
    </x:row>
    <x:row r="308" ht="22" customHeight="1">
      <x:c r="A308" s="20"/>
      <x:c r="B308" s="22"/>
      <x:c r="C308" s="20"/>
      <x:c r="D308" t="str">
        <x:f>IF(C308="","",IFERROR(VLOOKUP(C308,Customers!$A$6:$B$155,2,FALSE),"INVALID CUSTOMER ID"))</x:f>
      </x:c>
      <x:c r="E308" s="20"/>
      <x:c r="F308" t="str">
        <x:f>IF(E308="","",IFERROR(VLOOKUP(E308,Products!$A$6:$B$110,2,FALSE),"INVALID SKU"))</x:f>
      </x:c>
      <x:c r="G308" s="20"/>
      <x:c r="H308" s="24" t="str">
        <x:f>IF(E308="","",IFERROR(VLOOKUP(E308,Products!$A$6:$D$110,4,FALSE),""))</x:f>
      </x:c>
      <x:c r="I308" s="25"/>
      <x:c r="J308" s="24" t="str">
        <x:f>IF(OR(G308="",I308=""),"",G308*I308)</x:f>
      </x:c>
      <x:c r="K308" s="20"/>
      <x:c r="L308" s="20"/>
    </x:row>
    <x:row r="309" ht="22" customHeight="1">
      <x:c r="A309" s="20"/>
      <x:c r="B309" s="22"/>
      <x:c r="C309" s="20"/>
      <x:c r="D309" t="str">
        <x:f>IF(C309="","",IFERROR(VLOOKUP(C309,Customers!$A$6:$B$155,2,FALSE),"INVALID CUSTOMER ID"))</x:f>
      </x:c>
      <x:c r="E309" s="20"/>
      <x:c r="F309" t="str">
        <x:f>IF(E309="","",IFERROR(VLOOKUP(E309,Products!$A$6:$B$110,2,FALSE),"INVALID SKU"))</x:f>
      </x:c>
      <x:c r="G309" s="20"/>
      <x:c r="H309" s="24" t="str">
        <x:f>IF(E309="","",IFERROR(VLOOKUP(E309,Products!$A$6:$D$110,4,FALSE),""))</x:f>
      </x:c>
      <x:c r="I309" s="25"/>
      <x:c r="J309" s="24" t="str">
        <x:f>IF(OR(G309="",I309=""),"",G309*I309)</x:f>
      </x:c>
      <x:c r="K309" s="20"/>
      <x:c r="L309" s="20"/>
    </x:row>
    <x:row r="310" ht="22" customHeight="1">
      <x:c r="A310" s="20"/>
      <x:c r="B310" s="22"/>
      <x:c r="C310" s="20"/>
      <x:c r="D310" t="str">
        <x:f>IF(C310="","",IFERROR(VLOOKUP(C310,Customers!$A$6:$B$155,2,FALSE),"INVALID CUSTOMER ID"))</x:f>
      </x:c>
      <x:c r="E310" s="20"/>
      <x:c r="F310" t="str">
        <x:f>IF(E310="","",IFERROR(VLOOKUP(E310,Products!$A$6:$B$110,2,FALSE),"INVALID SKU"))</x:f>
      </x:c>
      <x:c r="G310" s="20"/>
      <x:c r="H310" s="24" t="str">
        <x:f>IF(E310="","",IFERROR(VLOOKUP(E310,Products!$A$6:$D$110,4,FALSE),""))</x:f>
      </x:c>
      <x:c r="I310" s="25"/>
      <x:c r="J310" s="24" t="str">
        <x:f>IF(OR(G310="",I310=""),"",G310*I310)</x:f>
      </x:c>
      <x:c r="K310" s="20"/>
      <x:c r="L310" s="20"/>
    </x:row>
    <x:row r="311" ht="22" customHeight="1">
      <x:c r="A311" s="20"/>
      <x:c r="B311" s="22"/>
      <x:c r="C311" s="20"/>
      <x:c r="D311" t="str">
        <x:f>IF(C311="","",IFERROR(VLOOKUP(C311,Customers!$A$6:$B$155,2,FALSE),"INVALID CUSTOMER ID"))</x:f>
      </x:c>
      <x:c r="E311" s="20"/>
      <x:c r="F311" t="str">
        <x:f>IF(E311="","",IFERROR(VLOOKUP(E311,Products!$A$6:$B$110,2,FALSE),"INVALID SKU"))</x:f>
      </x:c>
      <x:c r="G311" s="20"/>
      <x:c r="H311" s="24" t="str">
        <x:f>IF(E311="","",IFERROR(VLOOKUP(E311,Products!$A$6:$D$110,4,FALSE),""))</x:f>
      </x:c>
      <x:c r="I311" s="25"/>
      <x:c r="J311" s="24" t="str">
        <x:f>IF(OR(G311="",I311=""),"",G311*I311)</x:f>
      </x:c>
      <x:c r="K311" s="20"/>
      <x:c r="L311" s="20"/>
    </x:row>
    <x:row r="312" ht="22" customHeight="1">
      <x:c r="A312" s="20"/>
      <x:c r="B312" s="22"/>
      <x:c r="C312" s="20"/>
      <x:c r="D312" t="str">
        <x:f>IF(C312="","",IFERROR(VLOOKUP(C312,Customers!$A$6:$B$155,2,FALSE),"INVALID CUSTOMER ID"))</x:f>
      </x:c>
      <x:c r="E312" s="20"/>
      <x:c r="F312" t="str">
        <x:f>IF(E312="","",IFERROR(VLOOKUP(E312,Products!$A$6:$B$110,2,FALSE),"INVALID SKU"))</x:f>
      </x:c>
      <x:c r="G312" s="20"/>
      <x:c r="H312" s="24" t="str">
        <x:f>IF(E312="","",IFERROR(VLOOKUP(E312,Products!$A$6:$D$110,4,FALSE),""))</x:f>
      </x:c>
      <x:c r="I312" s="25"/>
      <x:c r="J312" s="24" t="str">
        <x:f>IF(OR(G312="",I312=""),"",G312*I312)</x:f>
      </x:c>
      <x:c r="K312" s="20"/>
      <x:c r="L312" s="20"/>
    </x:row>
    <x:row r="313" ht="22" customHeight="1">
      <x:c r="A313" s="20"/>
      <x:c r="B313" s="22"/>
      <x:c r="C313" s="20"/>
      <x:c r="D313" t="str">
        <x:f>IF(C313="","",IFERROR(VLOOKUP(C313,Customers!$A$6:$B$155,2,FALSE),"INVALID CUSTOMER ID"))</x:f>
      </x:c>
      <x:c r="E313" s="20"/>
      <x:c r="F313" t="str">
        <x:f>IF(E313="","",IFERROR(VLOOKUP(E313,Products!$A$6:$B$110,2,FALSE),"INVALID SKU"))</x:f>
      </x:c>
      <x:c r="G313" s="20"/>
      <x:c r="H313" s="24" t="str">
        <x:f>IF(E313="","",IFERROR(VLOOKUP(E313,Products!$A$6:$D$110,4,FALSE),""))</x:f>
      </x:c>
      <x:c r="I313" s="25"/>
      <x:c r="J313" s="24" t="str">
        <x:f>IF(OR(G313="",I313=""),"",G313*I313)</x:f>
      </x:c>
      <x:c r="K313" s="20"/>
      <x:c r="L313" s="20"/>
    </x:row>
    <x:row r="314" ht="22" customHeight="1">
      <x:c r="A314" s="20"/>
      <x:c r="B314" s="22"/>
      <x:c r="C314" s="20"/>
      <x:c r="D314" t="str">
        <x:f>IF(C314="","",IFERROR(VLOOKUP(C314,Customers!$A$6:$B$155,2,FALSE),"INVALID CUSTOMER ID"))</x:f>
      </x:c>
      <x:c r="E314" s="20"/>
      <x:c r="F314" t="str">
        <x:f>IF(E314="","",IFERROR(VLOOKUP(E314,Products!$A$6:$B$110,2,FALSE),"INVALID SKU"))</x:f>
      </x:c>
      <x:c r="G314" s="20"/>
      <x:c r="H314" s="24" t="str">
        <x:f>IF(E314="","",IFERROR(VLOOKUP(E314,Products!$A$6:$D$110,4,FALSE),""))</x:f>
      </x:c>
      <x:c r="I314" s="25"/>
      <x:c r="J314" s="24" t="str">
        <x:f>IF(OR(G314="",I314=""),"",G314*I314)</x:f>
      </x:c>
      <x:c r="K314" s="20"/>
      <x:c r="L314" s="20"/>
    </x:row>
    <x:row r="315" ht="22" customHeight="1">
      <x:c r="A315" s="20"/>
      <x:c r="B315" s="22"/>
      <x:c r="C315" s="20"/>
      <x:c r="D315" t="str">
        <x:f>IF(C315="","",IFERROR(VLOOKUP(C315,Customers!$A$6:$B$155,2,FALSE),"INVALID CUSTOMER ID"))</x:f>
      </x:c>
      <x:c r="E315" s="20"/>
      <x:c r="F315" t="str">
        <x:f>IF(E315="","",IFERROR(VLOOKUP(E315,Products!$A$6:$B$110,2,FALSE),"INVALID SKU"))</x:f>
      </x:c>
      <x:c r="G315" s="20"/>
      <x:c r="H315" s="24" t="str">
        <x:f>IF(E315="","",IFERROR(VLOOKUP(E315,Products!$A$6:$D$110,4,FALSE),""))</x:f>
      </x:c>
      <x:c r="I315" s="25"/>
      <x:c r="J315" s="24" t="str">
        <x:f>IF(OR(G315="",I315=""),"",G315*I315)</x:f>
      </x:c>
      <x:c r="K315" s="20"/>
      <x:c r="L315" s="20"/>
    </x:row>
    <x:row r="316" ht="22" customHeight="1">
      <x:c r="A316" s="20"/>
      <x:c r="B316" s="22"/>
      <x:c r="C316" s="20"/>
      <x:c r="D316" t="str">
        <x:f>IF(C316="","",IFERROR(VLOOKUP(C316,Customers!$A$6:$B$155,2,FALSE),"INVALID CUSTOMER ID"))</x:f>
      </x:c>
      <x:c r="E316" s="20"/>
      <x:c r="F316" t="str">
        <x:f>IF(E316="","",IFERROR(VLOOKUP(E316,Products!$A$6:$B$110,2,FALSE),"INVALID SKU"))</x:f>
      </x:c>
      <x:c r="G316" s="20"/>
      <x:c r="H316" s="24" t="str">
        <x:f>IF(E316="","",IFERROR(VLOOKUP(E316,Products!$A$6:$D$110,4,FALSE),""))</x:f>
      </x:c>
      <x:c r="I316" s="25"/>
      <x:c r="J316" s="24" t="str">
        <x:f>IF(OR(G316="",I316=""),"",G316*I316)</x:f>
      </x:c>
      <x:c r="K316" s="20"/>
      <x:c r="L316" s="20"/>
    </x:row>
    <x:row r="317" ht="22" customHeight="1">
      <x:c r="A317" s="20"/>
      <x:c r="B317" s="22"/>
      <x:c r="C317" s="20"/>
      <x:c r="D317" t="str">
        <x:f>IF(C317="","",IFERROR(VLOOKUP(C317,Customers!$A$6:$B$155,2,FALSE),"INVALID CUSTOMER ID"))</x:f>
      </x:c>
      <x:c r="E317" s="20"/>
      <x:c r="F317" t="str">
        <x:f>IF(E317="","",IFERROR(VLOOKUP(E317,Products!$A$6:$B$110,2,FALSE),"INVALID SKU"))</x:f>
      </x:c>
      <x:c r="G317" s="20"/>
      <x:c r="H317" s="24" t="str">
        <x:f>IF(E317="","",IFERROR(VLOOKUP(E317,Products!$A$6:$D$110,4,FALSE),""))</x:f>
      </x:c>
      <x:c r="I317" s="25"/>
      <x:c r="J317" s="24" t="str">
        <x:f>IF(OR(G317="",I317=""),"",G317*I317)</x:f>
      </x:c>
      <x:c r="K317" s="20"/>
      <x:c r="L317" s="20"/>
    </x:row>
    <x:row r="318" ht="22" customHeight="1">
      <x:c r="A318" s="20"/>
      <x:c r="B318" s="22"/>
      <x:c r="C318" s="20"/>
      <x:c r="D318" t="str">
        <x:f>IF(C318="","",IFERROR(VLOOKUP(C318,Customers!$A$6:$B$155,2,FALSE),"INVALID CUSTOMER ID"))</x:f>
      </x:c>
      <x:c r="E318" s="20"/>
      <x:c r="F318" t="str">
        <x:f>IF(E318="","",IFERROR(VLOOKUP(E318,Products!$A$6:$B$110,2,FALSE),"INVALID SKU"))</x:f>
      </x:c>
      <x:c r="G318" s="20"/>
      <x:c r="H318" s="24" t="str">
        <x:f>IF(E318="","",IFERROR(VLOOKUP(E318,Products!$A$6:$D$110,4,FALSE),""))</x:f>
      </x:c>
      <x:c r="I318" s="25"/>
      <x:c r="J318" s="24" t="str">
        <x:f>IF(OR(G318="",I318=""),"",G318*I318)</x:f>
      </x:c>
      <x:c r="K318" s="20"/>
      <x:c r="L318" s="20"/>
    </x:row>
    <x:row r="319" ht="22" customHeight="1">
      <x:c r="A319" s="20"/>
      <x:c r="B319" s="22"/>
      <x:c r="C319" s="20"/>
      <x:c r="D319" t="str">
        <x:f>IF(C319="","",IFERROR(VLOOKUP(C319,Customers!$A$6:$B$155,2,FALSE),"INVALID CUSTOMER ID"))</x:f>
      </x:c>
      <x:c r="E319" s="20"/>
      <x:c r="F319" t="str">
        <x:f>IF(E319="","",IFERROR(VLOOKUP(E319,Products!$A$6:$B$110,2,FALSE),"INVALID SKU"))</x:f>
      </x:c>
      <x:c r="G319" s="20"/>
      <x:c r="H319" s="24" t="str">
        <x:f>IF(E319="","",IFERROR(VLOOKUP(E319,Products!$A$6:$D$110,4,FALSE),""))</x:f>
      </x:c>
      <x:c r="I319" s="25"/>
      <x:c r="J319" s="24" t="str">
        <x:f>IF(OR(G319="",I319=""),"",G319*I319)</x:f>
      </x:c>
      <x:c r="K319" s="20"/>
      <x:c r="L319" s="20"/>
    </x:row>
    <x:row r="320" ht="22" customHeight="1">
      <x:c r="A320" s="20"/>
      <x:c r="B320" s="22"/>
      <x:c r="C320" s="20"/>
      <x:c r="D320" t="str">
        <x:f>IF(C320="","",IFERROR(VLOOKUP(C320,Customers!$A$6:$B$155,2,FALSE),"INVALID CUSTOMER ID"))</x:f>
      </x:c>
      <x:c r="E320" s="20"/>
      <x:c r="F320" t="str">
        <x:f>IF(E320="","",IFERROR(VLOOKUP(E320,Products!$A$6:$B$110,2,FALSE),"INVALID SKU"))</x:f>
      </x:c>
      <x:c r="G320" s="20"/>
      <x:c r="H320" s="24" t="str">
        <x:f>IF(E320="","",IFERROR(VLOOKUP(E320,Products!$A$6:$D$110,4,FALSE),""))</x:f>
      </x:c>
      <x:c r="I320" s="25"/>
      <x:c r="J320" s="24" t="str">
        <x:f>IF(OR(G320="",I320=""),"",G320*I320)</x:f>
      </x:c>
      <x:c r="K320" s="20"/>
      <x:c r="L320" s="20"/>
    </x:row>
    <x:row r="321" ht="22" customHeight="1">
      <x:c r="A321" s="20"/>
      <x:c r="B321" s="22"/>
      <x:c r="C321" s="20"/>
      <x:c r="D321" t="str">
        <x:f>IF(C321="","",IFERROR(VLOOKUP(C321,Customers!$A$6:$B$155,2,FALSE),"INVALID CUSTOMER ID"))</x:f>
      </x:c>
      <x:c r="E321" s="20"/>
      <x:c r="F321" t="str">
        <x:f>IF(E321="","",IFERROR(VLOOKUP(E321,Products!$A$6:$B$110,2,FALSE),"INVALID SKU"))</x:f>
      </x:c>
      <x:c r="G321" s="20"/>
      <x:c r="H321" s="24" t="str">
        <x:f>IF(E321="","",IFERROR(VLOOKUP(E321,Products!$A$6:$D$110,4,FALSE),""))</x:f>
      </x:c>
      <x:c r="I321" s="25"/>
      <x:c r="J321" s="24" t="str">
        <x:f>IF(OR(G321="",I321=""),"",G321*I321)</x:f>
      </x:c>
      <x:c r="K321" s="20"/>
      <x:c r="L321" s="20"/>
    </x:row>
    <x:row r="322" ht="22" customHeight="1">
      <x:c r="A322" s="20"/>
      <x:c r="B322" s="22"/>
      <x:c r="C322" s="20"/>
      <x:c r="D322" t="str">
        <x:f>IF(C322="","",IFERROR(VLOOKUP(C322,Customers!$A$6:$B$155,2,FALSE),"INVALID CUSTOMER ID"))</x:f>
      </x:c>
      <x:c r="E322" s="20"/>
      <x:c r="F322" t="str">
        <x:f>IF(E322="","",IFERROR(VLOOKUP(E322,Products!$A$6:$B$110,2,FALSE),"INVALID SKU"))</x:f>
      </x:c>
      <x:c r="G322" s="20"/>
      <x:c r="H322" s="24" t="str">
        <x:f>IF(E322="","",IFERROR(VLOOKUP(E322,Products!$A$6:$D$110,4,FALSE),""))</x:f>
      </x:c>
      <x:c r="I322" s="25"/>
      <x:c r="J322" s="24" t="str">
        <x:f>IF(OR(G322="",I322=""),"",G322*I322)</x:f>
      </x:c>
      <x:c r="K322" s="20"/>
      <x:c r="L322" s="20"/>
    </x:row>
    <x:row r="323" ht="22" customHeight="1">
      <x:c r="A323" s="20"/>
      <x:c r="B323" s="22"/>
      <x:c r="C323" s="20"/>
      <x:c r="D323" t="str">
        <x:f>IF(C323="","",IFERROR(VLOOKUP(C323,Customers!$A$6:$B$155,2,FALSE),"INVALID CUSTOMER ID"))</x:f>
      </x:c>
      <x:c r="E323" s="20"/>
      <x:c r="F323" t="str">
        <x:f>IF(E323="","",IFERROR(VLOOKUP(E323,Products!$A$6:$B$110,2,FALSE),"INVALID SKU"))</x:f>
      </x:c>
      <x:c r="G323" s="20"/>
      <x:c r="H323" s="24" t="str">
        <x:f>IF(E323="","",IFERROR(VLOOKUP(E323,Products!$A$6:$D$110,4,FALSE),""))</x:f>
      </x:c>
      <x:c r="I323" s="25"/>
      <x:c r="J323" s="24" t="str">
        <x:f>IF(OR(G323="",I323=""),"",G323*I323)</x:f>
      </x:c>
      <x:c r="K323" s="20"/>
      <x:c r="L323" s="20"/>
    </x:row>
    <x:row r="324" ht="22" customHeight="1">
      <x:c r="A324" s="20"/>
      <x:c r="B324" s="22"/>
      <x:c r="C324" s="20"/>
      <x:c r="D324" t="str">
        <x:f>IF(C324="","",IFERROR(VLOOKUP(C324,Customers!$A$6:$B$155,2,FALSE),"INVALID CUSTOMER ID"))</x:f>
      </x:c>
      <x:c r="E324" s="20"/>
      <x:c r="F324" t="str">
        <x:f>IF(E324="","",IFERROR(VLOOKUP(E324,Products!$A$6:$B$110,2,FALSE),"INVALID SKU"))</x:f>
      </x:c>
      <x:c r="G324" s="20"/>
      <x:c r="H324" s="24" t="str">
        <x:f>IF(E324="","",IFERROR(VLOOKUP(E324,Products!$A$6:$D$110,4,FALSE),""))</x:f>
      </x:c>
      <x:c r="I324" s="25"/>
      <x:c r="J324" s="24" t="str">
        <x:f>IF(OR(G324="",I324=""),"",G324*I324)</x:f>
      </x:c>
      <x:c r="K324" s="20"/>
      <x:c r="L324" s="20"/>
    </x:row>
    <x:row r="325" ht="22" customHeight="1">
      <x:c r="A325" s="20"/>
      <x:c r="B325" s="22"/>
      <x:c r="C325" s="20"/>
      <x:c r="D325" t="str">
        <x:f>IF(C325="","",IFERROR(VLOOKUP(C325,Customers!$A$6:$B$155,2,FALSE),"INVALID CUSTOMER ID"))</x:f>
      </x:c>
      <x:c r="E325" s="20"/>
      <x:c r="F325" t="str">
        <x:f>IF(E325="","",IFERROR(VLOOKUP(E325,Products!$A$6:$B$110,2,FALSE),"INVALID SKU"))</x:f>
      </x:c>
      <x:c r="G325" s="20"/>
      <x:c r="H325" s="24" t="str">
        <x:f>IF(E325="","",IFERROR(VLOOKUP(E325,Products!$A$6:$D$110,4,FALSE),""))</x:f>
      </x:c>
      <x:c r="I325" s="25"/>
      <x:c r="J325" s="24" t="str">
        <x:f>IF(OR(G325="",I325=""),"",G325*I325)</x:f>
      </x:c>
      <x:c r="K325" s="20"/>
      <x:c r="L325" s="20"/>
    </x:row>
    <x:row r="326" ht="22" customHeight="1">
      <x:c r="A326" s="20"/>
      <x:c r="B326" s="22"/>
      <x:c r="C326" s="20"/>
      <x:c r="D326" t="str">
        <x:f>IF(C326="","",IFERROR(VLOOKUP(C326,Customers!$A$6:$B$155,2,FALSE),"INVALID CUSTOMER ID"))</x:f>
      </x:c>
      <x:c r="E326" s="20"/>
      <x:c r="F326" t="str">
        <x:f>IF(E326="","",IFERROR(VLOOKUP(E326,Products!$A$6:$B$110,2,FALSE),"INVALID SKU"))</x:f>
      </x:c>
      <x:c r="G326" s="20"/>
      <x:c r="H326" s="24" t="str">
        <x:f>IF(E326="","",IFERROR(VLOOKUP(E326,Products!$A$6:$D$110,4,FALSE),""))</x:f>
      </x:c>
      <x:c r="I326" s="25"/>
      <x:c r="J326" s="24" t="str">
        <x:f>IF(OR(G326="",I326=""),"",G326*I326)</x:f>
      </x:c>
      <x:c r="K326" s="20"/>
      <x:c r="L326" s="20"/>
    </x:row>
    <x:row r="327" ht="22" customHeight="1">
      <x:c r="A327" s="20"/>
      <x:c r="B327" s="22"/>
      <x:c r="C327" s="20"/>
      <x:c r="D327" t="str">
        <x:f>IF(C327="","",IFERROR(VLOOKUP(C327,Customers!$A$6:$B$155,2,FALSE),"INVALID CUSTOMER ID"))</x:f>
      </x:c>
      <x:c r="E327" s="20"/>
      <x:c r="F327" t="str">
        <x:f>IF(E327="","",IFERROR(VLOOKUP(E327,Products!$A$6:$B$110,2,FALSE),"INVALID SKU"))</x:f>
      </x:c>
      <x:c r="G327" s="20"/>
      <x:c r="H327" s="24" t="str">
        <x:f>IF(E327="","",IFERROR(VLOOKUP(E327,Products!$A$6:$D$110,4,FALSE),""))</x:f>
      </x:c>
      <x:c r="I327" s="25"/>
      <x:c r="J327" s="24" t="str">
        <x:f>IF(OR(G327="",I327=""),"",G327*I327)</x:f>
      </x:c>
      <x:c r="K327" s="20"/>
      <x:c r="L327" s="20"/>
    </x:row>
    <x:row r="328" ht="22" customHeight="1">
      <x:c r="A328" s="20"/>
      <x:c r="B328" s="22"/>
      <x:c r="C328" s="20"/>
      <x:c r="D328" t="str">
        <x:f>IF(C328="","",IFERROR(VLOOKUP(C328,Customers!$A$6:$B$155,2,FALSE),"INVALID CUSTOMER ID"))</x:f>
      </x:c>
      <x:c r="E328" s="20"/>
      <x:c r="F328" t="str">
        <x:f>IF(E328="","",IFERROR(VLOOKUP(E328,Products!$A$6:$B$110,2,FALSE),"INVALID SKU"))</x:f>
      </x:c>
      <x:c r="G328" s="20"/>
      <x:c r="H328" s="24" t="str">
        <x:f>IF(E328="","",IFERROR(VLOOKUP(E328,Products!$A$6:$D$110,4,FALSE),""))</x:f>
      </x:c>
      <x:c r="I328" s="25"/>
      <x:c r="J328" s="24" t="str">
        <x:f>IF(OR(G328="",I328=""),"",G328*I328)</x:f>
      </x:c>
      <x:c r="K328" s="20"/>
      <x:c r="L328" s="20"/>
    </x:row>
    <x:row r="329" ht="22" customHeight="1">
      <x:c r="A329" s="20"/>
      <x:c r="B329" s="22"/>
      <x:c r="C329" s="20"/>
      <x:c r="D329" t="str">
        <x:f>IF(C329="","",IFERROR(VLOOKUP(C329,Customers!$A$6:$B$155,2,FALSE),"INVALID CUSTOMER ID"))</x:f>
      </x:c>
      <x:c r="E329" s="20"/>
      <x:c r="F329" t="str">
        <x:f>IF(E329="","",IFERROR(VLOOKUP(E329,Products!$A$6:$B$110,2,FALSE),"INVALID SKU"))</x:f>
      </x:c>
      <x:c r="G329" s="20"/>
      <x:c r="H329" s="24" t="str">
        <x:f>IF(E329="","",IFERROR(VLOOKUP(E329,Products!$A$6:$D$110,4,FALSE),""))</x:f>
      </x:c>
      <x:c r="I329" s="25"/>
      <x:c r="J329" s="24" t="str">
        <x:f>IF(OR(G329="",I329=""),"",G329*I329)</x:f>
      </x:c>
      <x:c r="K329" s="20"/>
      <x:c r="L329" s="20"/>
    </x:row>
    <x:row r="330" ht="22" customHeight="1">
      <x:c r="A330" s="20"/>
      <x:c r="B330" s="22"/>
      <x:c r="C330" s="20"/>
      <x:c r="D330" t="str">
        <x:f>IF(C330="","",IFERROR(VLOOKUP(C330,Customers!$A$6:$B$155,2,FALSE),"INVALID CUSTOMER ID"))</x:f>
      </x:c>
      <x:c r="E330" s="20"/>
      <x:c r="F330" t="str">
        <x:f>IF(E330="","",IFERROR(VLOOKUP(E330,Products!$A$6:$B$110,2,FALSE),"INVALID SKU"))</x:f>
      </x:c>
      <x:c r="G330" s="20"/>
      <x:c r="H330" s="24" t="str">
        <x:f>IF(E330="","",IFERROR(VLOOKUP(E330,Products!$A$6:$D$110,4,FALSE),""))</x:f>
      </x:c>
      <x:c r="I330" s="25"/>
      <x:c r="J330" s="24" t="str">
        <x:f>IF(OR(G330="",I330=""),"",G330*I330)</x:f>
      </x:c>
      <x:c r="K330" s="20"/>
      <x:c r="L330" s="20"/>
    </x:row>
    <x:row r="331" ht="22" customHeight="1">
      <x:c r="A331" s="20"/>
      <x:c r="B331" s="22"/>
      <x:c r="C331" s="20"/>
      <x:c r="D331" t="str">
        <x:f>IF(C331="","",IFERROR(VLOOKUP(C331,Customers!$A$6:$B$155,2,FALSE),"INVALID CUSTOMER ID"))</x:f>
      </x:c>
      <x:c r="E331" s="20"/>
      <x:c r="F331" t="str">
        <x:f>IF(E331="","",IFERROR(VLOOKUP(E331,Products!$A$6:$B$110,2,FALSE),"INVALID SKU"))</x:f>
      </x:c>
      <x:c r="G331" s="20"/>
      <x:c r="H331" s="24" t="str">
        <x:f>IF(E331="","",IFERROR(VLOOKUP(E331,Products!$A$6:$D$110,4,FALSE),""))</x:f>
      </x:c>
      <x:c r="I331" s="25"/>
      <x:c r="J331" s="24" t="str">
        <x:f>IF(OR(G331="",I331=""),"",G331*I331)</x:f>
      </x:c>
      <x:c r="K331" s="20"/>
      <x:c r="L331" s="20"/>
    </x:row>
    <x:row r="332" ht="22" customHeight="1">
      <x:c r="A332" s="20"/>
      <x:c r="B332" s="22"/>
      <x:c r="C332" s="20"/>
      <x:c r="D332" t="str">
        <x:f>IF(C332="","",IFERROR(VLOOKUP(C332,Customers!$A$6:$B$155,2,FALSE),"INVALID CUSTOMER ID"))</x:f>
      </x:c>
      <x:c r="E332" s="20"/>
      <x:c r="F332" t="str">
        <x:f>IF(E332="","",IFERROR(VLOOKUP(E332,Products!$A$6:$B$110,2,FALSE),"INVALID SKU"))</x:f>
      </x:c>
      <x:c r="G332" s="20"/>
      <x:c r="H332" s="24" t="str">
        <x:f>IF(E332="","",IFERROR(VLOOKUP(E332,Products!$A$6:$D$110,4,FALSE),""))</x:f>
      </x:c>
      <x:c r="I332" s="25"/>
      <x:c r="J332" s="24" t="str">
        <x:f>IF(OR(G332="",I332=""),"",G332*I332)</x:f>
      </x:c>
      <x:c r="K332" s="20"/>
      <x:c r="L332" s="20"/>
    </x:row>
    <x:row r="333" ht="22" customHeight="1">
      <x:c r="A333" s="20"/>
      <x:c r="B333" s="22"/>
      <x:c r="C333" s="20"/>
      <x:c r="D333" t="str">
        <x:f>IF(C333="","",IFERROR(VLOOKUP(C333,Customers!$A$6:$B$155,2,FALSE),"INVALID CUSTOMER ID"))</x:f>
      </x:c>
      <x:c r="E333" s="20"/>
      <x:c r="F333" t="str">
        <x:f>IF(E333="","",IFERROR(VLOOKUP(E333,Products!$A$6:$B$110,2,FALSE),"INVALID SKU"))</x:f>
      </x:c>
      <x:c r="G333" s="20"/>
      <x:c r="H333" s="24" t="str">
        <x:f>IF(E333="","",IFERROR(VLOOKUP(E333,Products!$A$6:$D$110,4,FALSE),""))</x:f>
      </x:c>
      <x:c r="I333" s="25"/>
      <x:c r="J333" s="24" t="str">
        <x:f>IF(OR(G333="",I333=""),"",G333*I333)</x:f>
      </x:c>
      <x:c r="K333" s="20"/>
      <x:c r="L333" s="20"/>
    </x:row>
    <x:row r="334" ht="22" customHeight="1">
      <x:c r="A334" s="20"/>
      <x:c r="B334" s="22"/>
      <x:c r="C334" s="20"/>
      <x:c r="D334" t="str">
        <x:f>IF(C334="","",IFERROR(VLOOKUP(C334,Customers!$A$6:$B$155,2,FALSE),"INVALID CUSTOMER ID"))</x:f>
      </x:c>
      <x:c r="E334" s="20"/>
      <x:c r="F334" t="str">
        <x:f>IF(E334="","",IFERROR(VLOOKUP(E334,Products!$A$6:$B$110,2,FALSE),"INVALID SKU"))</x:f>
      </x:c>
      <x:c r="G334" s="20"/>
      <x:c r="H334" s="24" t="str">
        <x:f>IF(E334="","",IFERROR(VLOOKUP(E334,Products!$A$6:$D$110,4,FALSE),""))</x:f>
      </x:c>
      <x:c r="I334" s="25"/>
      <x:c r="J334" s="24" t="str">
        <x:f>IF(OR(G334="",I334=""),"",G334*I334)</x:f>
      </x:c>
      <x:c r="K334" s="20"/>
      <x:c r="L334" s="20"/>
    </x:row>
    <x:row r="335" ht="22" customHeight="1">
      <x:c r="A335" s="20"/>
      <x:c r="B335" s="22"/>
      <x:c r="C335" s="20"/>
      <x:c r="D335" t="str">
        <x:f>IF(C335="","",IFERROR(VLOOKUP(C335,Customers!$A$6:$B$155,2,FALSE),"INVALID CUSTOMER ID"))</x:f>
      </x:c>
      <x:c r="E335" s="20"/>
      <x:c r="F335" t="str">
        <x:f>IF(E335="","",IFERROR(VLOOKUP(E335,Products!$A$6:$B$110,2,FALSE),"INVALID SKU"))</x:f>
      </x:c>
      <x:c r="G335" s="20"/>
      <x:c r="H335" s="24" t="str">
        <x:f>IF(E335="","",IFERROR(VLOOKUP(E335,Products!$A$6:$D$110,4,FALSE),""))</x:f>
      </x:c>
      <x:c r="I335" s="25"/>
      <x:c r="J335" s="24" t="str">
        <x:f>IF(OR(G335="",I335=""),"",G335*I335)</x:f>
      </x:c>
      <x:c r="K335" s="20"/>
      <x:c r="L335" s="20"/>
    </x:row>
    <x:row r="336" ht="22" customHeight="1">
      <x:c r="A336" s="20"/>
      <x:c r="B336" s="22"/>
      <x:c r="C336" s="20"/>
      <x:c r="D336" t="str">
        <x:f>IF(C336="","",IFERROR(VLOOKUP(C336,Customers!$A$6:$B$155,2,FALSE),"INVALID CUSTOMER ID"))</x:f>
      </x:c>
      <x:c r="E336" s="20"/>
      <x:c r="F336" t="str">
        <x:f>IF(E336="","",IFERROR(VLOOKUP(E336,Products!$A$6:$B$110,2,FALSE),"INVALID SKU"))</x:f>
      </x:c>
      <x:c r="G336" s="20"/>
      <x:c r="H336" s="24" t="str">
        <x:f>IF(E336="","",IFERROR(VLOOKUP(E336,Products!$A$6:$D$110,4,FALSE),""))</x:f>
      </x:c>
      <x:c r="I336" s="25"/>
      <x:c r="J336" s="24" t="str">
        <x:f>IF(OR(G336="",I336=""),"",G336*I336)</x:f>
      </x:c>
      <x:c r="K336" s="20"/>
      <x:c r="L336" s="20"/>
    </x:row>
    <x:row r="337" ht="22" customHeight="1">
      <x:c r="A337" s="20"/>
      <x:c r="B337" s="22"/>
      <x:c r="C337" s="20"/>
      <x:c r="D337" t="str">
        <x:f>IF(C337="","",IFERROR(VLOOKUP(C337,Customers!$A$6:$B$155,2,FALSE),"INVALID CUSTOMER ID"))</x:f>
      </x:c>
      <x:c r="E337" s="20"/>
      <x:c r="F337" t="str">
        <x:f>IF(E337="","",IFERROR(VLOOKUP(E337,Products!$A$6:$B$110,2,FALSE),"INVALID SKU"))</x:f>
      </x:c>
      <x:c r="G337" s="20"/>
      <x:c r="H337" s="24" t="str">
        <x:f>IF(E337="","",IFERROR(VLOOKUP(E337,Products!$A$6:$D$110,4,FALSE),""))</x:f>
      </x:c>
      <x:c r="I337" s="25"/>
      <x:c r="J337" s="24" t="str">
        <x:f>IF(OR(G337="",I337=""),"",G337*I337)</x:f>
      </x:c>
      <x:c r="K337" s="20"/>
      <x:c r="L337" s="20"/>
    </x:row>
    <x:row r="338" ht="22" customHeight="1">
      <x:c r="A338" s="20"/>
      <x:c r="B338" s="22"/>
      <x:c r="C338" s="20"/>
      <x:c r="D338" t="str">
        <x:f>IF(C338="","",IFERROR(VLOOKUP(C338,Customers!$A$6:$B$155,2,FALSE),"INVALID CUSTOMER ID"))</x:f>
      </x:c>
      <x:c r="E338" s="20"/>
      <x:c r="F338" t="str">
        <x:f>IF(E338="","",IFERROR(VLOOKUP(E338,Products!$A$6:$B$110,2,FALSE),"INVALID SKU"))</x:f>
      </x:c>
      <x:c r="G338" s="20"/>
      <x:c r="H338" s="24" t="str">
        <x:f>IF(E338="","",IFERROR(VLOOKUP(E338,Products!$A$6:$D$110,4,FALSE),""))</x:f>
      </x:c>
      <x:c r="I338" s="25"/>
      <x:c r="J338" s="24" t="str">
        <x:f>IF(OR(G338="",I338=""),"",G338*I338)</x:f>
      </x:c>
      <x:c r="K338" s="20"/>
      <x:c r="L338" s="20"/>
    </x:row>
    <x:row r="339" ht="22" customHeight="1">
      <x:c r="A339" s="20"/>
      <x:c r="B339" s="22"/>
      <x:c r="C339" s="20"/>
      <x:c r="D339" t="str">
        <x:f>IF(C339="","",IFERROR(VLOOKUP(C339,Customers!$A$6:$B$155,2,FALSE),"INVALID CUSTOMER ID"))</x:f>
      </x:c>
      <x:c r="E339" s="20"/>
      <x:c r="F339" t="str">
        <x:f>IF(E339="","",IFERROR(VLOOKUP(E339,Products!$A$6:$B$110,2,FALSE),"INVALID SKU"))</x:f>
      </x:c>
      <x:c r="G339" s="20"/>
      <x:c r="H339" s="24" t="str">
        <x:f>IF(E339="","",IFERROR(VLOOKUP(E339,Products!$A$6:$D$110,4,FALSE),""))</x:f>
      </x:c>
      <x:c r="I339" s="25"/>
      <x:c r="J339" s="24" t="str">
        <x:f>IF(OR(G339="",I339=""),"",G339*I339)</x:f>
      </x:c>
      <x:c r="K339" s="20"/>
      <x:c r="L339" s="20"/>
    </x:row>
    <x:row r="340" ht="22" customHeight="1">
      <x:c r="A340" s="20"/>
      <x:c r="B340" s="22"/>
      <x:c r="C340" s="20"/>
      <x:c r="D340" t="str">
        <x:f>IF(C340="","",IFERROR(VLOOKUP(C340,Customers!$A$6:$B$155,2,FALSE),"INVALID CUSTOMER ID"))</x:f>
      </x:c>
      <x:c r="E340" s="20"/>
      <x:c r="F340" t="str">
        <x:f>IF(E340="","",IFERROR(VLOOKUP(E340,Products!$A$6:$B$110,2,FALSE),"INVALID SKU"))</x:f>
      </x:c>
      <x:c r="G340" s="20"/>
      <x:c r="H340" s="24" t="str">
        <x:f>IF(E340="","",IFERROR(VLOOKUP(E340,Products!$A$6:$D$110,4,FALSE),""))</x:f>
      </x:c>
      <x:c r="I340" s="25"/>
      <x:c r="J340" s="24" t="str">
        <x:f>IF(OR(G340="",I340=""),"",G340*I340)</x:f>
      </x:c>
      <x:c r="K340" s="20"/>
      <x:c r="L340" s="20"/>
    </x:row>
    <x:row r="341" ht="22" customHeight="1">
      <x:c r="A341" s="20"/>
      <x:c r="B341" s="22"/>
      <x:c r="C341" s="20"/>
      <x:c r="D341" t="str">
        <x:f>IF(C341="","",IFERROR(VLOOKUP(C341,Customers!$A$6:$B$155,2,FALSE),"INVALID CUSTOMER ID"))</x:f>
      </x:c>
      <x:c r="E341" s="20"/>
      <x:c r="F341" t="str">
        <x:f>IF(E341="","",IFERROR(VLOOKUP(E341,Products!$A$6:$B$110,2,FALSE),"INVALID SKU"))</x:f>
      </x:c>
      <x:c r="G341" s="20"/>
      <x:c r="H341" s="24" t="str">
        <x:f>IF(E341="","",IFERROR(VLOOKUP(E341,Products!$A$6:$D$110,4,FALSE),""))</x:f>
      </x:c>
      <x:c r="I341" s="25"/>
      <x:c r="J341" s="24" t="str">
        <x:f>IF(OR(G341="",I341=""),"",G341*I341)</x:f>
      </x:c>
      <x:c r="K341" s="20"/>
      <x:c r="L341" s="20"/>
    </x:row>
    <x:row r="342" ht="22" customHeight="1">
      <x:c r="A342" s="20"/>
      <x:c r="B342" s="22"/>
      <x:c r="C342" s="20"/>
      <x:c r="D342" t="str">
        <x:f>IF(C342="","",IFERROR(VLOOKUP(C342,Customers!$A$6:$B$155,2,FALSE),"INVALID CUSTOMER ID"))</x:f>
      </x:c>
      <x:c r="E342" s="20"/>
      <x:c r="F342" t="str">
        <x:f>IF(E342="","",IFERROR(VLOOKUP(E342,Products!$A$6:$B$110,2,FALSE),"INVALID SKU"))</x:f>
      </x:c>
      <x:c r="G342" s="20"/>
      <x:c r="H342" s="24" t="str">
        <x:f>IF(E342="","",IFERROR(VLOOKUP(E342,Products!$A$6:$D$110,4,FALSE),""))</x:f>
      </x:c>
      <x:c r="I342" s="25"/>
      <x:c r="J342" s="24" t="str">
        <x:f>IF(OR(G342="",I342=""),"",G342*I342)</x:f>
      </x:c>
      <x:c r="K342" s="20"/>
      <x:c r="L342" s="20"/>
    </x:row>
    <x:row r="343" ht="22" customHeight="1">
      <x:c r="A343" s="20"/>
      <x:c r="B343" s="22"/>
      <x:c r="C343" s="20"/>
      <x:c r="D343" t="str">
        <x:f>IF(C343="","",IFERROR(VLOOKUP(C343,Customers!$A$6:$B$155,2,FALSE),"INVALID CUSTOMER ID"))</x:f>
      </x:c>
      <x:c r="E343" s="20"/>
      <x:c r="F343" t="str">
        <x:f>IF(E343="","",IFERROR(VLOOKUP(E343,Products!$A$6:$B$110,2,FALSE),"INVALID SKU"))</x:f>
      </x:c>
      <x:c r="G343" s="20"/>
      <x:c r="H343" s="24" t="str">
        <x:f>IF(E343="","",IFERROR(VLOOKUP(E343,Products!$A$6:$D$110,4,FALSE),""))</x:f>
      </x:c>
      <x:c r="I343" s="25"/>
      <x:c r="J343" s="24" t="str">
        <x:f>IF(OR(G343="",I343=""),"",G343*I343)</x:f>
      </x:c>
      <x:c r="K343" s="20"/>
      <x:c r="L343" s="20"/>
    </x:row>
    <x:row r="344" ht="22" customHeight="1">
      <x:c r="A344" s="20"/>
      <x:c r="B344" s="22"/>
      <x:c r="C344" s="20"/>
      <x:c r="D344" t="str">
        <x:f>IF(C344="","",IFERROR(VLOOKUP(C344,Customers!$A$6:$B$155,2,FALSE),"INVALID CUSTOMER ID"))</x:f>
      </x:c>
      <x:c r="E344" s="20"/>
      <x:c r="F344" t="str">
        <x:f>IF(E344="","",IFERROR(VLOOKUP(E344,Products!$A$6:$B$110,2,FALSE),"INVALID SKU"))</x:f>
      </x:c>
      <x:c r="G344" s="20"/>
      <x:c r="H344" s="24" t="str">
        <x:f>IF(E344="","",IFERROR(VLOOKUP(E344,Products!$A$6:$D$110,4,FALSE),""))</x:f>
      </x:c>
      <x:c r="I344" s="25"/>
      <x:c r="J344" s="24" t="str">
        <x:f>IF(OR(G344="",I344=""),"",G344*I344)</x:f>
      </x:c>
      <x:c r="K344" s="20"/>
      <x:c r="L344" s="20"/>
    </x:row>
    <x:row r="345" ht="22" customHeight="1">
      <x:c r="A345" s="20"/>
      <x:c r="B345" s="22"/>
      <x:c r="C345" s="20"/>
      <x:c r="D345" t="str">
        <x:f>IF(C345="","",IFERROR(VLOOKUP(C345,Customers!$A$6:$B$155,2,FALSE),"INVALID CUSTOMER ID"))</x:f>
      </x:c>
      <x:c r="E345" s="20"/>
      <x:c r="F345" t="str">
        <x:f>IF(E345="","",IFERROR(VLOOKUP(E345,Products!$A$6:$B$110,2,FALSE),"INVALID SKU"))</x:f>
      </x:c>
      <x:c r="G345" s="20"/>
      <x:c r="H345" s="24" t="str">
        <x:f>IF(E345="","",IFERROR(VLOOKUP(E345,Products!$A$6:$D$110,4,FALSE),""))</x:f>
      </x:c>
      <x:c r="I345" s="25"/>
      <x:c r="J345" s="24" t="str">
        <x:f>IF(OR(G345="",I345=""),"",G345*I345)</x:f>
      </x:c>
      <x:c r="K345" s="20"/>
      <x:c r="L345" s="20"/>
    </x:row>
    <x:row r="346" ht="22" customHeight="1">
      <x:c r="A346" s="20"/>
      <x:c r="B346" s="22"/>
      <x:c r="C346" s="20"/>
      <x:c r="D346" t="str">
        <x:f>IF(C346="","",IFERROR(VLOOKUP(C346,Customers!$A$6:$B$155,2,FALSE),"INVALID CUSTOMER ID"))</x:f>
      </x:c>
      <x:c r="E346" s="20"/>
      <x:c r="F346" t="str">
        <x:f>IF(E346="","",IFERROR(VLOOKUP(E346,Products!$A$6:$B$110,2,FALSE),"INVALID SKU"))</x:f>
      </x:c>
      <x:c r="G346" s="20"/>
      <x:c r="H346" s="24" t="str">
        <x:f>IF(E346="","",IFERROR(VLOOKUP(E346,Products!$A$6:$D$110,4,FALSE),""))</x:f>
      </x:c>
      <x:c r="I346" s="25"/>
      <x:c r="J346" s="24" t="str">
        <x:f>IF(OR(G346="",I346=""),"",G346*I346)</x:f>
      </x:c>
      <x:c r="K346" s="20"/>
      <x:c r="L346" s="20"/>
    </x:row>
    <x:row r="347" ht="22" customHeight="1">
      <x:c r="A347" s="20"/>
      <x:c r="B347" s="22"/>
      <x:c r="C347" s="20"/>
      <x:c r="D347" t="str">
        <x:f>IF(C347="","",IFERROR(VLOOKUP(C347,Customers!$A$6:$B$155,2,FALSE),"INVALID CUSTOMER ID"))</x:f>
      </x:c>
      <x:c r="E347" s="20"/>
      <x:c r="F347" t="str">
        <x:f>IF(E347="","",IFERROR(VLOOKUP(E347,Products!$A$6:$B$110,2,FALSE),"INVALID SKU"))</x:f>
      </x:c>
      <x:c r="G347" s="20"/>
      <x:c r="H347" s="24" t="str">
        <x:f>IF(E347="","",IFERROR(VLOOKUP(E347,Products!$A$6:$D$110,4,FALSE),""))</x:f>
      </x:c>
      <x:c r="I347" s="25"/>
      <x:c r="J347" s="24" t="str">
        <x:f>IF(OR(G347="",I347=""),"",G347*I347)</x:f>
      </x:c>
      <x:c r="K347" s="20"/>
      <x:c r="L347" s="20"/>
    </x:row>
    <x:row r="348" ht="22" customHeight="1">
      <x:c r="A348" s="20"/>
      <x:c r="B348" s="22"/>
      <x:c r="C348" s="20"/>
      <x:c r="D348" t="str">
        <x:f>IF(C348="","",IFERROR(VLOOKUP(C348,Customers!$A$6:$B$155,2,FALSE),"INVALID CUSTOMER ID"))</x:f>
      </x:c>
      <x:c r="E348" s="20"/>
      <x:c r="F348" t="str">
        <x:f>IF(E348="","",IFERROR(VLOOKUP(E348,Products!$A$6:$B$110,2,FALSE),"INVALID SKU"))</x:f>
      </x:c>
      <x:c r="G348" s="20"/>
      <x:c r="H348" s="24" t="str">
        <x:f>IF(E348="","",IFERROR(VLOOKUP(E348,Products!$A$6:$D$110,4,FALSE),""))</x:f>
      </x:c>
      <x:c r="I348" s="25"/>
      <x:c r="J348" s="24" t="str">
        <x:f>IF(OR(G348="",I348=""),"",G348*I348)</x:f>
      </x:c>
      <x:c r="K348" s="20"/>
      <x:c r="L348" s="20"/>
    </x:row>
    <x:row r="349" ht="22" customHeight="1">
      <x:c r="A349" s="20"/>
      <x:c r="B349" s="22"/>
      <x:c r="C349" s="20"/>
      <x:c r="D349" t="str">
        <x:f>IF(C349="","",IFERROR(VLOOKUP(C349,Customers!$A$6:$B$155,2,FALSE),"INVALID CUSTOMER ID"))</x:f>
      </x:c>
      <x:c r="E349" s="20"/>
      <x:c r="F349" t="str">
        <x:f>IF(E349="","",IFERROR(VLOOKUP(E349,Products!$A$6:$B$110,2,FALSE),"INVALID SKU"))</x:f>
      </x:c>
      <x:c r="G349" s="20"/>
      <x:c r="H349" s="24" t="str">
        <x:f>IF(E349="","",IFERROR(VLOOKUP(E349,Products!$A$6:$D$110,4,FALSE),""))</x:f>
      </x:c>
      <x:c r="I349" s="25"/>
      <x:c r="J349" s="24" t="str">
        <x:f>IF(OR(G349="",I349=""),"",G349*I349)</x:f>
      </x:c>
      <x:c r="K349" s="20"/>
      <x:c r="L349" s="20"/>
    </x:row>
    <x:row r="350" ht="22" customHeight="1">
      <x:c r="A350" s="20"/>
      <x:c r="B350" s="22"/>
      <x:c r="C350" s="20"/>
      <x:c r="D350" t="str">
        <x:f>IF(C350="","",IFERROR(VLOOKUP(C350,Customers!$A$6:$B$155,2,FALSE),"INVALID CUSTOMER ID"))</x:f>
      </x:c>
      <x:c r="E350" s="20"/>
      <x:c r="F350" t="str">
        <x:f>IF(E350="","",IFERROR(VLOOKUP(E350,Products!$A$6:$B$110,2,FALSE),"INVALID SKU"))</x:f>
      </x:c>
      <x:c r="G350" s="20"/>
      <x:c r="H350" s="24" t="str">
        <x:f>IF(E350="","",IFERROR(VLOOKUP(E350,Products!$A$6:$D$110,4,FALSE),""))</x:f>
      </x:c>
      <x:c r="I350" s="25"/>
      <x:c r="J350" s="24" t="str">
        <x:f>IF(OR(G350="",I350=""),"",G350*I350)</x:f>
      </x:c>
      <x:c r="K350" s="20"/>
      <x:c r="L350" s="20"/>
    </x:row>
    <x:row r="351" ht="22" customHeight="1">
      <x:c r="A351" s="20"/>
      <x:c r="B351" s="22"/>
      <x:c r="C351" s="20"/>
      <x:c r="D351" t="str">
        <x:f>IF(C351="","",IFERROR(VLOOKUP(C351,Customers!$A$6:$B$155,2,FALSE),"INVALID CUSTOMER ID"))</x:f>
      </x:c>
      <x:c r="E351" s="20"/>
      <x:c r="F351" t="str">
        <x:f>IF(E351="","",IFERROR(VLOOKUP(E351,Products!$A$6:$B$110,2,FALSE),"INVALID SKU"))</x:f>
      </x:c>
      <x:c r="G351" s="20"/>
      <x:c r="H351" s="24" t="str">
        <x:f>IF(E351="","",IFERROR(VLOOKUP(E351,Products!$A$6:$D$110,4,FALSE),""))</x:f>
      </x:c>
      <x:c r="I351" s="25"/>
      <x:c r="J351" s="24" t="str">
        <x:f>IF(OR(G351="",I351=""),"",G351*I351)</x:f>
      </x:c>
      <x:c r="K351" s="20"/>
      <x:c r="L351" s="20"/>
    </x:row>
    <x:row r="352" ht="22" customHeight="1">
      <x:c r="A352" s="20"/>
      <x:c r="B352" s="22"/>
      <x:c r="C352" s="20"/>
      <x:c r="D352" t="str">
        <x:f>IF(C352="","",IFERROR(VLOOKUP(C352,Customers!$A$6:$B$155,2,FALSE),"INVALID CUSTOMER ID"))</x:f>
      </x:c>
      <x:c r="E352" s="20"/>
      <x:c r="F352" t="str">
        <x:f>IF(E352="","",IFERROR(VLOOKUP(E352,Products!$A$6:$B$110,2,FALSE),"INVALID SKU"))</x:f>
      </x:c>
      <x:c r="G352" s="20"/>
      <x:c r="H352" s="24" t="str">
        <x:f>IF(E352="","",IFERROR(VLOOKUP(E352,Products!$A$6:$D$110,4,FALSE),""))</x:f>
      </x:c>
      <x:c r="I352" s="25"/>
      <x:c r="J352" s="24" t="str">
        <x:f>IF(OR(G352="",I352=""),"",G352*I352)</x:f>
      </x:c>
      <x:c r="K352" s="20"/>
      <x:c r="L352" s="20"/>
    </x:row>
    <x:row r="353" ht="22" customHeight="1">
      <x:c r="A353" s="20"/>
      <x:c r="B353" s="22"/>
      <x:c r="C353" s="20"/>
      <x:c r="D353" t="str">
        <x:f>IF(C353="","",IFERROR(VLOOKUP(C353,Customers!$A$6:$B$155,2,FALSE),"INVALID CUSTOMER ID"))</x:f>
      </x:c>
      <x:c r="E353" s="20"/>
      <x:c r="F353" t="str">
        <x:f>IF(E353="","",IFERROR(VLOOKUP(E353,Products!$A$6:$B$110,2,FALSE),"INVALID SKU"))</x:f>
      </x:c>
      <x:c r="G353" s="20"/>
      <x:c r="H353" s="24" t="str">
        <x:f>IF(E353="","",IFERROR(VLOOKUP(E353,Products!$A$6:$D$110,4,FALSE),""))</x:f>
      </x:c>
      <x:c r="I353" s="25"/>
      <x:c r="J353" s="24" t="str">
        <x:f>IF(OR(G353="",I353=""),"",G353*I353)</x:f>
      </x:c>
      <x:c r="K353" s="20"/>
      <x:c r="L353" s="20"/>
    </x:row>
    <x:row r="354" ht="22" customHeight="1">
      <x:c r="A354" s="20"/>
      <x:c r="B354" s="22"/>
      <x:c r="C354" s="20"/>
      <x:c r="D354" t="str">
        <x:f>IF(C354="","",IFERROR(VLOOKUP(C354,Customers!$A$6:$B$155,2,FALSE),"INVALID CUSTOMER ID"))</x:f>
      </x:c>
      <x:c r="E354" s="20"/>
      <x:c r="F354" t="str">
        <x:f>IF(E354="","",IFERROR(VLOOKUP(E354,Products!$A$6:$B$110,2,FALSE),"INVALID SKU"))</x:f>
      </x:c>
      <x:c r="G354" s="20"/>
      <x:c r="H354" s="24" t="str">
        <x:f>IF(E354="","",IFERROR(VLOOKUP(E354,Products!$A$6:$D$110,4,FALSE),""))</x:f>
      </x:c>
      <x:c r="I354" s="25"/>
      <x:c r="J354" s="24" t="str">
        <x:f>IF(OR(G354="",I354=""),"",G354*I354)</x:f>
      </x:c>
      <x:c r="K354" s="20"/>
      <x:c r="L354" s="20"/>
    </x:row>
    <x:row r="355" ht="22" customHeight="1">
      <x:c r="A355" s="20"/>
      <x:c r="B355" s="22"/>
      <x:c r="C355" s="20"/>
      <x:c r="D355" t="str">
        <x:f>IF(C355="","",IFERROR(VLOOKUP(C355,Customers!$A$6:$B$155,2,FALSE),"INVALID CUSTOMER ID"))</x:f>
      </x:c>
      <x:c r="E355" s="20"/>
      <x:c r="F355" t="str">
        <x:f>IF(E355="","",IFERROR(VLOOKUP(E355,Products!$A$6:$B$110,2,FALSE),"INVALID SKU"))</x:f>
      </x:c>
      <x:c r="G355" s="20"/>
      <x:c r="H355" s="24" t="str">
        <x:f>IF(E355="","",IFERROR(VLOOKUP(E355,Products!$A$6:$D$110,4,FALSE),""))</x:f>
      </x:c>
      <x:c r="I355" s="25"/>
      <x:c r="J355" s="24" t="str">
        <x:f>IF(OR(G355="",I355=""),"",G355*I355)</x:f>
      </x:c>
      <x:c r="K355" s="20"/>
      <x:c r="L355" s="20"/>
    </x:row>
    <x:row r="356" ht="22" customHeight="1">
      <x:c r="A356" s="20"/>
      <x:c r="B356" s="22"/>
      <x:c r="C356" s="20"/>
      <x:c r="D356" t="str">
        <x:f>IF(C356="","",IFERROR(VLOOKUP(C356,Customers!$A$6:$B$155,2,FALSE),"INVALID CUSTOMER ID"))</x:f>
      </x:c>
      <x:c r="E356" s="20"/>
      <x:c r="F356" t="str">
        <x:f>IF(E356="","",IFERROR(VLOOKUP(E356,Products!$A$6:$B$110,2,FALSE),"INVALID SKU"))</x:f>
      </x:c>
      <x:c r="G356" s="20"/>
      <x:c r="H356" s="24" t="str">
        <x:f>IF(E356="","",IFERROR(VLOOKUP(E356,Products!$A$6:$D$110,4,FALSE),""))</x:f>
      </x:c>
      <x:c r="I356" s="25"/>
      <x:c r="J356" s="24" t="str">
        <x:f>IF(OR(G356="",I356=""),"",G356*I356)</x:f>
      </x:c>
      <x:c r="K356" s="20"/>
      <x:c r="L356" s="20"/>
    </x:row>
    <x:row r="357" ht="22" customHeight="1">
      <x:c r="A357" s="20"/>
      <x:c r="B357" s="22"/>
      <x:c r="C357" s="20"/>
      <x:c r="D357" t="str">
        <x:f>IF(C357="","",IFERROR(VLOOKUP(C357,Customers!$A$6:$B$155,2,FALSE),"INVALID CUSTOMER ID"))</x:f>
      </x:c>
      <x:c r="E357" s="20"/>
      <x:c r="F357" t="str">
        <x:f>IF(E357="","",IFERROR(VLOOKUP(E357,Products!$A$6:$B$110,2,FALSE),"INVALID SKU"))</x:f>
      </x:c>
      <x:c r="G357" s="20"/>
      <x:c r="H357" s="24" t="str">
        <x:f>IF(E357="","",IFERROR(VLOOKUP(E357,Products!$A$6:$D$110,4,FALSE),""))</x:f>
      </x:c>
      <x:c r="I357" s="25"/>
      <x:c r="J357" s="24" t="str">
        <x:f>IF(OR(G357="",I357=""),"",G357*I357)</x:f>
      </x:c>
      <x:c r="K357" s="20"/>
      <x:c r="L357" s="20"/>
    </x:row>
    <x:row r="358" ht="22" customHeight="1">
      <x:c r="A358" s="20"/>
      <x:c r="B358" s="22"/>
      <x:c r="C358" s="20"/>
      <x:c r="D358" t="str">
        <x:f>IF(C358="","",IFERROR(VLOOKUP(C358,Customers!$A$6:$B$155,2,FALSE),"INVALID CUSTOMER ID"))</x:f>
      </x:c>
      <x:c r="E358" s="20"/>
      <x:c r="F358" t="str">
        <x:f>IF(E358="","",IFERROR(VLOOKUP(E358,Products!$A$6:$B$110,2,FALSE),"INVALID SKU"))</x:f>
      </x:c>
      <x:c r="G358" s="20"/>
      <x:c r="H358" s="24" t="str">
        <x:f>IF(E358="","",IFERROR(VLOOKUP(E358,Products!$A$6:$D$110,4,FALSE),""))</x:f>
      </x:c>
      <x:c r="I358" s="25"/>
      <x:c r="J358" s="24" t="str">
        <x:f>IF(OR(G358="",I358=""),"",G358*I358)</x:f>
      </x:c>
      <x:c r="K358" s="20"/>
      <x:c r="L358" s="20"/>
    </x:row>
    <x:row r="359" ht="22" customHeight="1">
      <x:c r="A359" s="20"/>
      <x:c r="B359" s="22"/>
      <x:c r="C359" s="20"/>
      <x:c r="D359" t="str">
        <x:f>IF(C359="","",IFERROR(VLOOKUP(C359,Customers!$A$6:$B$155,2,FALSE),"INVALID CUSTOMER ID"))</x:f>
      </x:c>
      <x:c r="E359" s="20"/>
      <x:c r="F359" t="str">
        <x:f>IF(E359="","",IFERROR(VLOOKUP(E359,Products!$A$6:$B$110,2,FALSE),"INVALID SKU"))</x:f>
      </x:c>
      <x:c r="G359" s="20"/>
      <x:c r="H359" s="24" t="str">
        <x:f>IF(E359="","",IFERROR(VLOOKUP(E359,Products!$A$6:$D$110,4,FALSE),""))</x:f>
      </x:c>
      <x:c r="I359" s="25"/>
      <x:c r="J359" s="24" t="str">
        <x:f>IF(OR(G359="",I359=""),"",G359*I359)</x:f>
      </x:c>
      <x:c r="K359" s="20"/>
      <x:c r="L359" s="20"/>
    </x:row>
    <x:row r="360" ht="22" customHeight="1">
      <x:c r="A360" s="20"/>
      <x:c r="B360" s="22"/>
      <x:c r="C360" s="20"/>
      <x:c r="D360" t="str">
        <x:f>IF(C360="","",IFERROR(VLOOKUP(C360,Customers!$A$6:$B$155,2,FALSE),"INVALID CUSTOMER ID"))</x:f>
      </x:c>
      <x:c r="E360" s="20"/>
      <x:c r="F360" t="str">
        <x:f>IF(E360="","",IFERROR(VLOOKUP(E360,Products!$A$6:$B$110,2,FALSE),"INVALID SKU"))</x:f>
      </x:c>
      <x:c r="G360" s="20"/>
      <x:c r="H360" s="24" t="str">
        <x:f>IF(E360="","",IFERROR(VLOOKUP(E360,Products!$A$6:$D$110,4,FALSE),""))</x:f>
      </x:c>
      <x:c r="I360" s="25"/>
      <x:c r="J360" s="24" t="str">
        <x:f>IF(OR(G360="",I360=""),"",G360*I360)</x:f>
      </x:c>
      <x:c r="K360" s="20"/>
      <x:c r="L360" s="20"/>
    </x:row>
    <x:row r="361" ht="22" customHeight="1">
      <x:c r="A361" s="20"/>
      <x:c r="B361" s="22"/>
      <x:c r="C361" s="20"/>
      <x:c r="D361" t="str">
        <x:f>IF(C361="","",IFERROR(VLOOKUP(C361,Customers!$A$6:$B$155,2,FALSE),"INVALID CUSTOMER ID"))</x:f>
      </x:c>
      <x:c r="E361" s="20"/>
      <x:c r="F361" t="str">
        <x:f>IF(E361="","",IFERROR(VLOOKUP(E361,Products!$A$6:$B$110,2,FALSE),"INVALID SKU"))</x:f>
      </x:c>
      <x:c r="G361" s="20"/>
      <x:c r="H361" s="24" t="str">
        <x:f>IF(E361="","",IFERROR(VLOOKUP(E361,Products!$A$6:$D$110,4,FALSE),""))</x:f>
      </x:c>
      <x:c r="I361" s="25"/>
      <x:c r="J361" s="24" t="str">
        <x:f>IF(OR(G361="",I361=""),"",G361*I361)</x:f>
      </x:c>
      <x:c r="K361" s="20"/>
      <x:c r="L361" s="20"/>
    </x:row>
    <x:row r="362" ht="22" customHeight="1">
      <x:c r="A362" s="20"/>
      <x:c r="B362" s="22"/>
      <x:c r="C362" s="20"/>
      <x:c r="D362" t="str">
        <x:f>IF(C362="","",IFERROR(VLOOKUP(C362,Customers!$A$6:$B$155,2,FALSE),"INVALID CUSTOMER ID"))</x:f>
      </x:c>
      <x:c r="E362" s="20"/>
      <x:c r="F362" t="str">
        <x:f>IF(E362="","",IFERROR(VLOOKUP(E362,Products!$A$6:$B$110,2,FALSE),"INVALID SKU"))</x:f>
      </x:c>
      <x:c r="G362" s="20"/>
      <x:c r="H362" s="24" t="str">
        <x:f>IF(E362="","",IFERROR(VLOOKUP(E362,Products!$A$6:$D$110,4,FALSE),""))</x:f>
      </x:c>
      <x:c r="I362" s="25"/>
      <x:c r="J362" s="24" t="str">
        <x:f>IF(OR(G362="",I362=""),"",G362*I362)</x:f>
      </x:c>
      <x:c r="K362" s="20"/>
      <x:c r="L362" s="20"/>
    </x:row>
    <x:row r="363" ht="22" customHeight="1">
      <x:c r="A363" s="20"/>
      <x:c r="B363" s="22"/>
      <x:c r="C363" s="20"/>
      <x:c r="D363" t="str">
        <x:f>IF(C363="","",IFERROR(VLOOKUP(C363,Customers!$A$6:$B$155,2,FALSE),"INVALID CUSTOMER ID"))</x:f>
      </x:c>
      <x:c r="E363" s="20"/>
      <x:c r="F363" t="str">
        <x:f>IF(E363="","",IFERROR(VLOOKUP(E363,Products!$A$6:$B$110,2,FALSE),"INVALID SKU"))</x:f>
      </x:c>
      <x:c r="G363" s="20"/>
      <x:c r="H363" s="24" t="str">
        <x:f>IF(E363="","",IFERROR(VLOOKUP(E363,Products!$A$6:$D$110,4,FALSE),""))</x:f>
      </x:c>
      <x:c r="I363" s="25"/>
      <x:c r="J363" s="24" t="str">
        <x:f>IF(OR(G363="",I363=""),"",G363*I363)</x:f>
      </x:c>
      <x:c r="K363" s="20"/>
      <x:c r="L363" s="20"/>
    </x:row>
    <x:row r="364" ht="22" customHeight="1">
      <x:c r="A364" s="20"/>
      <x:c r="B364" s="22"/>
      <x:c r="C364" s="20"/>
      <x:c r="D364" t="str">
        <x:f>IF(C364="","",IFERROR(VLOOKUP(C364,Customers!$A$6:$B$155,2,FALSE),"INVALID CUSTOMER ID"))</x:f>
      </x:c>
      <x:c r="E364" s="20"/>
      <x:c r="F364" t="str">
        <x:f>IF(E364="","",IFERROR(VLOOKUP(E364,Products!$A$6:$B$110,2,FALSE),"INVALID SKU"))</x:f>
      </x:c>
      <x:c r="G364" s="20"/>
      <x:c r="H364" s="24" t="str">
        <x:f>IF(E364="","",IFERROR(VLOOKUP(E364,Products!$A$6:$D$110,4,FALSE),""))</x:f>
      </x:c>
      <x:c r="I364" s="25"/>
      <x:c r="J364" s="24" t="str">
        <x:f>IF(OR(G364="",I364=""),"",G364*I364)</x:f>
      </x:c>
      <x:c r="K364" s="20"/>
      <x:c r="L364" s="20"/>
    </x:row>
    <x:row r="365" ht="22" customHeight="1">
      <x:c r="A365" s="20"/>
      <x:c r="B365" s="22"/>
      <x:c r="C365" s="20"/>
      <x:c r="D365" t="str">
        <x:f>IF(C365="","",IFERROR(VLOOKUP(C365,Customers!$A$6:$B$155,2,FALSE),"INVALID CUSTOMER ID"))</x:f>
      </x:c>
      <x:c r="E365" s="20"/>
      <x:c r="F365" t="str">
        <x:f>IF(E365="","",IFERROR(VLOOKUP(E365,Products!$A$6:$B$110,2,FALSE),"INVALID SKU"))</x:f>
      </x:c>
      <x:c r="G365" s="20"/>
      <x:c r="H365" s="24" t="str">
        <x:f>IF(E365="","",IFERROR(VLOOKUP(E365,Products!$A$6:$D$110,4,FALSE),""))</x:f>
      </x:c>
      <x:c r="I365" s="25"/>
      <x:c r="J365" s="24" t="str">
        <x:f>IF(OR(G365="",I365=""),"",G365*I365)</x:f>
      </x:c>
      <x:c r="K365" s="20"/>
      <x:c r="L365" s="20"/>
    </x:row>
    <x:row r="366" ht="22" customHeight="1">
      <x:c r="A366" s="20"/>
      <x:c r="B366" s="22"/>
      <x:c r="C366" s="20"/>
      <x:c r="D366" t="str">
        <x:f>IF(C366="","",IFERROR(VLOOKUP(C366,Customers!$A$6:$B$155,2,FALSE),"INVALID CUSTOMER ID"))</x:f>
      </x:c>
      <x:c r="E366" s="20"/>
      <x:c r="F366" t="str">
        <x:f>IF(E366="","",IFERROR(VLOOKUP(E366,Products!$A$6:$B$110,2,FALSE),"INVALID SKU"))</x:f>
      </x:c>
      <x:c r="G366" s="20"/>
      <x:c r="H366" s="24" t="str">
        <x:f>IF(E366="","",IFERROR(VLOOKUP(E366,Products!$A$6:$D$110,4,FALSE),""))</x:f>
      </x:c>
      <x:c r="I366" s="25"/>
      <x:c r="J366" s="24" t="str">
        <x:f>IF(OR(G366="",I366=""),"",G366*I366)</x:f>
      </x:c>
      <x:c r="K366" s="20"/>
      <x:c r="L366" s="20"/>
    </x:row>
    <x:row r="367" ht="22" customHeight="1">
      <x:c r="A367" s="20"/>
      <x:c r="B367" s="22"/>
      <x:c r="C367" s="20"/>
      <x:c r="D367" t="str">
        <x:f>IF(C367="","",IFERROR(VLOOKUP(C367,Customers!$A$6:$B$155,2,FALSE),"INVALID CUSTOMER ID"))</x:f>
      </x:c>
      <x:c r="E367" s="20"/>
      <x:c r="F367" t="str">
        <x:f>IF(E367="","",IFERROR(VLOOKUP(E367,Products!$A$6:$B$110,2,FALSE),"INVALID SKU"))</x:f>
      </x:c>
      <x:c r="G367" s="20"/>
      <x:c r="H367" s="24" t="str">
        <x:f>IF(E367="","",IFERROR(VLOOKUP(E367,Products!$A$6:$D$110,4,FALSE),""))</x:f>
      </x:c>
      <x:c r="I367" s="25"/>
      <x:c r="J367" s="24" t="str">
        <x:f>IF(OR(G367="",I367=""),"",G367*I367)</x:f>
      </x:c>
      <x:c r="K367" s="20"/>
      <x:c r="L367" s="20"/>
    </x:row>
    <x:row r="368" ht="22" customHeight="1">
      <x:c r="A368" s="20"/>
      <x:c r="B368" s="22"/>
      <x:c r="C368" s="20"/>
      <x:c r="D368" t="str">
        <x:f>IF(C368="","",IFERROR(VLOOKUP(C368,Customers!$A$6:$B$155,2,FALSE),"INVALID CUSTOMER ID"))</x:f>
      </x:c>
      <x:c r="E368" s="20"/>
      <x:c r="F368" t="str">
        <x:f>IF(E368="","",IFERROR(VLOOKUP(E368,Products!$A$6:$B$110,2,FALSE),"INVALID SKU"))</x:f>
      </x:c>
      <x:c r="G368" s="20"/>
      <x:c r="H368" s="24" t="str">
        <x:f>IF(E368="","",IFERROR(VLOOKUP(E368,Products!$A$6:$D$110,4,FALSE),""))</x:f>
      </x:c>
      <x:c r="I368" s="25"/>
      <x:c r="J368" s="24" t="str">
        <x:f>IF(OR(G368="",I368=""),"",G368*I368)</x:f>
      </x:c>
      <x:c r="K368" s="20"/>
      <x:c r="L368" s="20"/>
    </x:row>
    <x:row r="369" ht="22" customHeight="1">
      <x:c r="A369" s="20"/>
      <x:c r="B369" s="22"/>
      <x:c r="C369" s="20"/>
      <x:c r="D369" t="str">
        <x:f>IF(C369="","",IFERROR(VLOOKUP(C369,Customers!$A$6:$B$155,2,FALSE),"INVALID CUSTOMER ID"))</x:f>
      </x:c>
      <x:c r="E369" s="20"/>
      <x:c r="F369" t="str">
        <x:f>IF(E369="","",IFERROR(VLOOKUP(E369,Products!$A$6:$B$110,2,FALSE),"INVALID SKU"))</x:f>
      </x:c>
      <x:c r="G369" s="20"/>
      <x:c r="H369" s="24" t="str">
        <x:f>IF(E369="","",IFERROR(VLOOKUP(E369,Products!$A$6:$D$110,4,FALSE),""))</x:f>
      </x:c>
      <x:c r="I369" s="25"/>
      <x:c r="J369" s="24" t="str">
        <x:f>IF(OR(G369="",I369=""),"",G369*I369)</x:f>
      </x:c>
      <x:c r="K369" s="20"/>
      <x:c r="L369" s="20"/>
    </x:row>
    <x:row r="370" ht="22" customHeight="1">
      <x:c r="A370" s="20"/>
      <x:c r="B370" s="22"/>
      <x:c r="C370" s="20"/>
      <x:c r="D370" t="str">
        <x:f>IF(C370="","",IFERROR(VLOOKUP(C370,Customers!$A$6:$B$155,2,FALSE),"INVALID CUSTOMER ID"))</x:f>
      </x:c>
      <x:c r="E370" s="20"/>
      <x:c r="F370" t="str">
        <x:f>IF(E370="","",IFERROR(VLOOKUP(E370,Products!$A$6:$B$110,2,FALSE),"INVALID SKU"))</x:f>
      </x:c>
      <x:c r="G370" s="20"/>
      <x:c r="H370" s="24" t="str">
        <x:f>IF(E370="","",IFERROR(VLOOKUP(E370,Products!$A$6:$D$110,4,FALSE),""))</x:f>
      </x:c>
      <x:c r="I370" s="25"/>
      <x:c r="J370" s="24" t="str">
        <x:f>IF(OR(G370="",I370=""),"",G370*I370)</x:f>
      </x:c>
      <x:c r="K370" s="20"/>
      <x:c r="L370" s="20"/>
    </x:row>
    <x:row r="371" ht="22" customHeight="1">
      <x:c r="A371" s="20"/>
      <x:c r="B371" s="22"/>
      <x:c r="C371" s="20"/>
      <x:c r="D371" t="str">
        <x:f>IF(C371="","",IFERROR(VLOOKUP(C371,Customers!$A$6:$B$155,2,FALSE),"INVALID CUSTOMER ID"))</x:f>
      </x:c>
      <x:c r="E371" s="20"/>
      <x:c r="F371" t="str">
        <x:f>IF(E371="","",IFERROR(VLOOKUP(E371,Products!$A$6:$B$110,2,FALSE),"INVALID SKU"))</x:f>
      </x:c>
      <x:c r="G371" s="20"/>
      <x:c r="H371" s="24" t="str">
        <x:f>IF(E371="","",IFERROR(VLOOKUP(E371,Products!$A$6:$D$110,4,FALSE),""))</x:f>
      </x:c>
      <x:c r="I371" s="25"/>
      <x:c r="J371" s="24" t="str">
        <x:f>IF(OR(G371="",I371=""),"",G371*I371)</x:f>
      </x:c>
      <x:c r="K371" s="20"/>
      <x:c r="L371" s="20"/>
    </x:row>
    <x:row r="372" ht="22" customHeight="1">
      <x:c r="A372" s="20"/>
      <x:c r="B372" s="22"/>
      <x:c r="C372" s="20"/>
      <x:c r="D372" t="str">
        <x:f>IF(C372="","",IFERROR(VLOOKUP(C372,Customers!$A$6:$B$155,2,FALSE),"INVALID CUSTOMER ID"))</x:f>
      </x:c>
      <x:c r="E372" s="20"/>
      <x:c r="F372" t="str">
        <x:f>IF(E372="","",IFERROR(VLOOKUP(E372,Products!$A$6:$B$110,2,FALSE),"INVALID SKU"))</x:f>
      </x:c>
      <x:c r="G372" s="20"/>
      <x:c r="H372" s="24" t="str">
        <x:f>IF(E372="","",IFERROR(VLOOKUP(E372,Products!$A$6:$D$110,4,FALSE),""))</x:f>
      </x:c>
      <x:c r="I372" s="25"/>
      <x:c r="J372" s="24" t="str">
        <x:f>IF(OR(G372="",I372=""),"",G372*I372)</x:f>
      </x:c>
      <x:c r="K372" s="20"/>
      <x:c r="L372" s="20"/>
    </x:row>
    <x:row r="373" ht="22" customHeight="1">
      <x:c r="A373" s="20"/>
      <x:c r="B373" s="22"/>
      <x:c r="C373" s="20"/>
      <x:c r="D373" t="str">
        <x:f>IF(C373="","",IFERROR(VLOOKUP(C373,Customers!$A$6:$B$155,2,FALSE),"INVALID CUSTOMER ID"))</x:f>
      </x:c>
      <x:c r="E373" s="20"/>
      <x:c r="F373" t="str">
        <x:f>IF(E373="","",IFERROR(VLOOKUP(E373,Products!$A$6:$B$110,2,FALSE),"INVALID SKU"))</x:f>
      </x:c>
      <x:c r="G373" s="20"/>
      <x:c r="H373" s="24" t="str">
        <x:f>IF(E373="","",IFERROR(VLOOKUP(E373,Products!$A$6:$D$110,4,FALSE),""))</x:f>
      </x:c>
      <x:c r="I373" s="25"/>
      <x:c r="J373" s="24" t="str">
        <x:f>IF(OR(G373="",I373=""),"",G373*I373)</x:f>
      </x:c>
      <x:c r="K373" s="20"/>
      <x:c r="L373" s="20"/>
    </x:row>
    <x:row r="374" ht="22" customHeight="1">
      <x:c r="A374" s="20"/>
      <x:c r="B374" s="22"/>
      <x:c r="C374" s="20"/>
      <x:c r="D374" t="str">
        <x:f>IF(C374="","",IFERROR(VLOOKUP(C374,Customers!$A$6:$B$155,2,FALSE),"INVALID CUSTOMER ID"))</x:f>
      </x:c>
      <x:c r="E374" s="20"/>
      <x:c r="F374" t="str">
        <x:f>IF(E374="","",IFERROR(VLOOKUP(E374,Products!$A$6:$B$110,2,FALSE),"INVALID SKU"))</x:f>
      </x:c>
      <x:c r="G374" s="20"/>
      <x:c r="H374" s="24" t="str">
        <x:f>IF(E374="","",IFERROR(VLOOKUP(E374,Products!$A$6:$D$110,4,FALSE),""))</x:f>
      </x:c>
      <x:c r="I374" s="25"/>
      <x:c r="J374" s="24" t="str">
        <x:f>IF(OR(G374="",I374=""),"",G374*I374)</x:f>
      </x:c>
      <x:c r="K374" s="20"/>
      <x:c r="L374" s="20"/>
    </x:row>
    <x:row r="375" ht="22" customHeight="1">
      <x:c r="A375" s="20"/>
      <x:c r="B375" s="22"/>
      <x:c r="C375" s="20"/>
      <x:c r="D375" t="str">
        <x:f>IF(C375="","",IFERROR(VLOOKUP(C375,Customers!$A$6:$B$155,2,FALSE),"INVALID CUSTOMER ID"))</x:f>
      </x:c>
      <x:c r="E375" s="20"/>
      <x:c r="F375" t="str">
        <x:f>IF(E375="","",IFERROR(VLOOKUP(E375,Products!$A$6:$B$110,2,FALSE),"INVALID SKU"))</x:f>
      </x:c>
      <x:c r="G375" s="20"/>
      <x:c r="H375" s="24" t="str">
        <x:f>IF(E375="","",IFERROR(VLOOKUP(E375,Products!$A$6:$D$110,4,FALSE),""))</x:f>
      </x:c>
      <x:c r="I375" s="25"/>
      <x:c r="J375" s="24" t="str">
        <x:f>IF(OR(G375="",I375=""),"",G375*I375)</x:f>
      </x:c>
      <x:c r="K375" s="20"/>
      <x:c r="L375" s="20"/>
    </x:row>
    <x:row r="376" ht="22" customHeight="1">
      <x:c r="A376" s="20"/>
      <x:c r="B376" s="22"/>
      <x:c r="C376" s="20"/>
      <x:c r="D376" t="str">
        <x:f>IF(C376="","",IFERROR(VLOOKUP(C376,Customers!$A$6:$B$155,2,FALSE),"INVALID CUSTOMER ID"))</x:f>
      </x:c>
      <x:c r="E376" s="20"/>
      <x:c r="F376" t="str">
        <x:f>IF(E376="","",IFERROR(VLOOKUP(E376,Products!$A$6:$B$110,2,FALSE),"INVALID SKU"))</x:f>
      </x:c>
      <x:c r="G376" s="20"/>
      <x:c r="H376" s="24" t="str">
        <x:f>IF(E376="","",IFERROR(VLOOKUP(E376,Products!$A$6:$D$110,4,FALSE),""))</x:f>
      </x:c>
      <x:c r="I376" s="25"/>
      <x:c r="J376" s="24" t="str">
        <x:f>IF(OR(G376="",I376=""),"",G376*I376)</x:f>
      </x:c>
      <x:c r="K376" s="20"/>
      <x:c r="L376" s="20"/>
    </x:row>
    <x:row r="377" ht="22" customHeight="1">
      <x:c r="A377" s="20"/>
      <x:c r="B377" s="22"/>
      <x:c r="C377" s="20"/>
      <x:c r="D377" t="str">
        <x:f>IF(C377="","",IFERROR(VLOOKUP(C377,Customers!$A$6:$B$155,2,FALSE),"INVALID CUSTOMER ID"))</x:f>
      </x:c>
      <x:c r="E377" s="20"/>
      <x:c r="F377" t="str">
        <x:f>IF(E377="","",IFERROR(VLOOKUP(E377,Products!$A$6:$B$110,2,FALSE),"INVALID SKU"))</x:f>
      </x:c>
      <x:c r="G377" s="20"/>
      <x:c r="H377" s="24" t="str">
        <x:f>IF(E377="","",IFERROR(VLOOKUP(E377,Products!$A$6:$D$110,4,FALSE),""))</x:f>
      </x:c>
      <x:c r="I377" s="25"/>
      <x:c r="J377" s="24" t="str">
        <x:f>IF(OR(G377="",I377=""),"",G377*I377)</x:f>
      </x:c>
      <x:c r="K377" s="20"/>
      <x:c r="L377" s="20"/>
    </x:row>
    <x:row r="378" ht="22" customHeight="1">
      <x:c r="A378" s="20"/>
      <x:c r="B378" s="22"/>
      <x:c r="C378" s="20"/>
      <x:c r="D378" t="str">
        <x:f>IF(C378="","",IFERROR(VLOOKUP(C378,Customers!$A$6:$B$155,2,FALSE),"INVALID CUSTOMER ID"))</x:f>
      </x:c>
      <x:c r="E378" s="20"/>
      <x:c r="F378" t="str">
        <x:f>IF(E378="","",IFERROR(VLOOKUP(E378,Products!$A$6:$B$110,2,FALSE),"INVALID SKU"))</x:f>
      </x:c>
      <x:c r="G378" s="20"/>
      <x:c r="H378" s="24" t="str">
        <x:f>IF(E378="","",IFERROR(VLOOKUP(E378,Products!$A$6:$D$110,4,FALSE),""))</x:f>
      </x:c>
      <x:c r="I378" s="25"/>
      <x:c r="J378" s="24" t="str">
        <x:f>IF(OR(G378="",I378=""),"",G378*I378)</x:f>
      </x:c>
      <x:c r="K378" s="20"/>
      <x:c r="L378" s="20"/>
    </x:row>
    <x:row r="379" ht="22" customHeight="1">
      <x:c r="A379" s="20"/>
      <x:c r="B379" s="22"/>
      <x:c r="C379" s="20"/>
      <x:c r="D379" t="str">
        <x:f>IF(C379="","",IFERROR(VLOOKUP(C379,Customers!$A$6:$B$155,2,FALSE),"INVALID CUSTOMER ID"))</x:f>
      </x:c>
      <x:c r="E379" s="20"/>
      <x:c r="F379" t="str">
        <x:f>IF(E379="","",IFERROR(VLOOKUP(E379,Products!$A$6:$B$110,2,FALSE),"INVALID SKU"))</x:f>
      </x:c>
      <x:c r="G379" s="20"/>
      <x:c r="H379" s="24" t="str">
        <x:f>IF(E379="","",IFERROR(VLOOKUP(E379,Products!$A$6:$D$110,4,FALSE),""))</x:f>
      </x:c>
      <x:c r="I379" s="25"/>
      <x:c r="J379" s="24" t="str">
        <x:f>IF(OR(G379="",I379=""),"",G379*I379)</x:f>
      </x:c>
      <x:c r="K379" s="20"/>
      <x:c r="L379" s="20"/>
    </x:row>
    <x:row r="380" ht="22" customHeight="1">
      <x:c r="A380" s="20"/>
      <x:c r="B380" s="22"/>
      <x:c r="C380" s="20"/>
      <x:c r="D380" t="str">
        <x:f>IF(C380="","",IFERROR(VLOOKUP(C380,Customers!$A$6:$B$155,2,FALSE),"INVALID CUSTOMER ID"))</x:f>
      </x:c>
      <x:c r="E380" s="20"/>
      <x:c r="F380" t="str">
        <x:f>IF(E380="","",IFERROR(VLOOKUP(E380,Products!$A$6:$B$110,2,FALSE),"INVALID SKU"))</x:f>
      </x:c>
      <x:c r="G380" s="20"/>
      <x:c r="H380" s="24" t="str">
        <x:f>IF(E380="","",IFERROR(VLOOKUP(E380,Products!$A$6:$D$110,4,FALSE),""))</x:f>
      </x:c>
      <x:c r="I380" s="25"/>
      <x:c r="J380" s="24" t="str">
        <x:f>IF(OR(G380="",I380=""),"",G380*I380)</x:f>
      </x:c>
      <x:c r="K380" s="20"/>
      <x:c r="L380" s="20"/>
    </x:row>
    <x:row r="381" ht="22" customHeight="1">
      <x:c r="A381" s="20"/>
      <x:c r="B381" s="22"/>
      <x:c r="C381" s="20"/>
      <x:c r="D381" t="str">
        <x:f>IF(C381="","",IFERROR(VLOOKUP(C381,Customers!$A$6:$B$155,2,FALSE),"INVALID CUSTOMER ID"))</x:f>
      </x:c>
      <x:c r="E381" s="20"/>
      <x:c r="F381" t="str">
        <x:f>IF(E381="","",IFERROR(VLOOKUP(E381,Products!$A$6:$B$110,2,FALSE),"INVALID SKU"))</x:f>
      </x:c>
      <x:c r="G381" s="20"/>
      <x:c r="H381" s="24" t="str">
        <x:f>IF(E381="","",IFERROR(VLOOKUP(E381,Products!$A$6:$D$110,4,FALSE),""))</x:f>
      </x:c>
      <x:c r="I381" s="25"/>
      <x:c r="J381" s="24" t="str">
        <x:f>IF(OR(G381="",I381=""),"",G381*I381)</x:f>
      </x:c>
      <x:c r="K381" s="20"/>
      <x:c r="L381" s="20"/>
    </x:row>
    <x:row r="382" ht="22" customHeight="1">
      <x:c r="A382" s="20"/>
      <x:c r="B382" s="22"/>
      <x:c r="C382" s="20"/>
      <x:c r="D382" t="str">
        <x:f>IF(C382="","",IFERROR(VLOOKUP(C382,Customers!$A$6:$B$155,2,FALSE),"INVALID CUSTOMER ID"))</x:f>
      </x:c>
      <x:c r="E382" s="20"/>
      <x:c r="F382" t="str">
        <x:f>IF(E382="","",IFERROR(VLOOKUP(E382,Products!$A$6:$B$110,2,FALSE),"INVALID SKU"))</x:f>
      </x:c>
      <x:c r="G382" s="20"/>
      <x:c r="H382" s="24" t="str">
        <x:f>IF(E382="","",IFERROR(VLOOKUP(E382,Products!$A$6:$D$110,4,FALSE),""))</x:f>
      </x:c>
      <x:c r="I382" s="25"/>
      <x:c r="J382" s="24" t="str">
        <x:f>IF(OR(G382="",I382=""),"",G382*I382)</x:f>
      </x:c>
      <x:c r="K382" s="20"/>
      <x:c r="L382" s="20"/>
    </x:row>
    <x:row r="383" ht="22" customHeight="1">
      <x:c r="A383" s="20"/>
      <x:c r="B383" s="22"/>
      <x:c r="C383" s="20"/>
      <x:c r="D383" t="str">
        <x:f>IF(C383="","",IFERROR(VLOOKUP(C383,Customers!$A$6:$B$155,2,FALSE),"INVALID CUSTOMER ID"))</x:f>
      </x:c>
      <x:c r="E383" s="20"/>
      <x:c r="F383" t="str">
        <x:f>IF(E383="","",IFERROR(VLOOKUP(E383,Products!$A$6:$B$110,2,FALSE),"INVALID SKU"))</x:f>
      </x:c>
      <x:c r="G383" s="20"/>
      <x:c r="H383" s="24" t="str">
        <x:f>IF(E383="","",IFERROR(VLOOKUP(E383,Products!$A$6:$D$110,4,FALSE),""))</x:f>
      </x:c>
      <x:c r="I383" s="25"/>
      <x:c r="J383" s="24" t="str">
        <x:f>IF(OR(G383="",I383=""),"",G383*I383)</x:f>
      </x:c>
      <x:c r="K383" s="20"/>
      <x:c r="L383" s="20"/>
    </x:row>
    <x:row r="384" ht="22" customHeight="1">
      <x:c r="A384" s="20"/>
      <x:c r="B384" s="22"/>
      <x:c r="C384" s="20"/>
      <x:c r="D384" t="str">
        <x:f>IF(C384="","",IFERROR(VLOOKUP(C384,Customers!$A$6:$B$155,2,FALSE),"INVALID CUSTOMER ID"))</x:f>
      </x:c>
      <x:c r="E384" s="20"/>
      <x:c r="F384" t="str">
        <x:f>IF(E384="","",IFERROR(VLOOKUP(E384,Products!$A$6:$B$110,2,FALSE),"INVALID SKU"))</x:f>
      </x:c>
      <x:c r="G384" s="20"/>
      <x:c r="H384" s="24" t="str">
        <x:f>IF(E384="","",IFERROR(VLOOKUP(E384,Products!$A$6:$D$110,4,FALSE),""))</x:f>
      </x:c>
      <x:c r="I384" s="25"/>
      <x:c r="J384" s="24" t="str">
        <x:f>IF(OR(G384="",I384=""),"",G384*I384)</x:f>
      </x:c>
      <x:c r="K384" s="20"/>
      <x:c r="L384" s="20"/>
    </x:row>
    <x:row r="385" ht="22" customHeight="1">
      <x:c r="A385" s="20"/>
      <x:c r="B385" s="22"/>
      <x:c r="C385" s="20"/>
      <x:c r="D385" t="str">
        <x:f>IF(C385="","",IFERROR(VLOOKUP(C385,Customers!$A$6:$B$155,2,FALSE),"INVALID CUSTOMER ID"))</x:f>
      </x:c>
      <x:c r="E385" s="20"/>
      <x:c r="F385" t="str">
        <x:f>IF(E385="","",IFERROR(VLOOKUP(E385,Products!$A$6:$B$110,2,FALSE),"INVALID SKU"))</x:f>
      </x:c>
      <x:c r="G385" s="20"/>
      <x:c r="H385" s="24" t="str">
        <x:f>IF(E385="","",IFERROR(VLOOKUP(E385,Products!$A$6:$D$110,4,FALSE),""))</x:f>
      </x:c>
      <x:c r="I385" s="25"/>
      <x:c r="J385" s="24" t="str">
        <x:f>IF(OR(G385="",I385=""),"",G385*I385)</x:f>
      </x:c>
      <x:c r="K385" s="20"/>
      <x:c r="L385" s="20"/>
    </x:row>
    <x:row r="386" ht="22" customHeight="1">
      <x:c r="A386" s="20"/>
      <x:c r="B386" s="22"/>
      <x:c r="C386" s="20"/>
      <x:c r="D386" t="str">
        <x:f>IF(C386="","",IFERROR(VLOOKUP(C386,Customers!$A$6:$B$155,2,FALSE),"INVALID CUSTOMER ID"))</x:f>
      </x:c>
      <x:c r="E386" s="20"/>
      <x:c r="F386" t="str">
        <x:f>IF(E386="","",IFERROR(VLOOKUP(E386,Products!$A$6:$B$110,2,FALSE),"INVALID SKU"))</x:f>
      </x:c>
      <x:c r="G386" s="20"/>
      <x:c r="H386" s="24" t="str">
        <x:f>IF(E386="","",IFERROR(VLOOKUP(E386,Products!$A$6:$D$110,4,FALSE),""))</x:f>
      </x:c>
      <x:c r="I386" s="25"/>
      <x:c r="J386" s="24" t="str">
        <x:f>IF(OR(G386="",I386=""),"",G386*I386)</x:f>
      </x:c>
      <x:c r="K386" s="20"/>
      <x:c r="L386" s="20"/>
    </x:row>
    <x:row r="387" ht="22" customHeight="1">
      <x:c r="A387" s="20"/>
      <x:c r="B387" s="22"/>
      <x:c r="C387" s="20"/>
      <x:c r="D387" t="str">
        <x:f>IF(C387="","",IFERROR(VLOOKUP(C387,Customers!$A$6:$B$155,2,FALSE),"INVALID CUSTOMER ID"))</x:f>
      </x:c>
      <x:c r="E387" s="20"/>
      <x:c r="F387" t="str">
        <x:f>IF(E387="","",IFERROR(VLOOKUP(E387,Products!$A$6:$B$110,2,FALSE),"INVALID SKU"))</x:f>
      </x:c>
      <x:c r="G387" s="20"/>
      <x:c r="H387" s="24" t="str">
        <x:f>IF(E387="","",IFERROR(VLOOKUP(E387,Products!$A$6:$D$110,4,FALSE),""))</x:f>
      </x:c>
      <x:c r="I387" s="25"/>
      <x:c r="J387" s="24" t="str">
        <x:f>IF(OR(G387="",I387=""),"",G387*I387)</x:f>
      </x:c>
      <x:c r="K387" s="20"/>
      <x:c r="L387" s="20"/>
    </x:row>
    <x:row r="388" ht="22" customHeight="1">
      <x:c r="A388" s="20"/>
      <x:c r="B388" s="22"/>
      <x:c r="C388" s="20"/>
      <x:c r="D388" t="str">
        <x:f>IF(C388="","",IFERROR(VLOOKUP(C388,Customers!$A$6:$B$155,2,FALSE),"INVALID CUSTOMER ID"))</x:f>
      </x:c>
      <x:c r="E388" s="20"/>
      <x:c r="F388" t="str">
        <x:f>IF(E388="","",IFERROR(VLOOKUP(E388,Products!$A$6:$B$110,2,FALSE),"INVALID SKU"))</x:f>
      </x:c>
      <x:c r="G388" s="20"/>
      <x:c r="H388" s="24" t="str">
        <x:f>IF(E388="","",IFERROR(VLOOKUP(E388,Products!$A$6:$D$110,4,FALSE),""))</x:f>
      </x:c>
      <x:c r="I388" s="25"/>
      <x:c r="J388" s="24" t="str">
        <x:f>IF(OR(G388="",I388=""),"",G388*I388)</x:f>
      </x:c>
      <x:c r="K388" s="20"/>
      <x:c r="L388" s="20"/>
    </x:row>
    <x:row r="389" ht="22" customHeight="1">
      <x:c r="A389" s="20"/>
      <x:c r="B389" s="22"/>
      <x:c r="C389" s="20"/>
      <x:c r="D389" t="str">
        <x:f>IF(C389="","",IFERROR(VLOOKUP(C389,Customers!$A$6:$B$155,2,FALSE),"INVALID CUSTOMER ID"))</x:f>
      </x:c>
      <x:c r="E389" s="20"/>
      <x:c r="F389" t="str">
        <x:f>IF(E389="","",IFERROR(VLOOKUP(E389,Products!$A$6:$B$110,2,FALSE),"INVALID SKU"))</x:f>
      </x:c>
      <x:c r="G389" s="20"/>
      <x:c r="H389" s="24" t="str">
        <x:f>IF(E389="","",IFERROR(VLOOKUP(E389,Products!$A$6:$D$110,4,FALSE),""))</x:f>
      </x:c>
      <x:c r="I389" s="25"/>
      <x:c r="J389" s="24" t="str">
        <x:f>IF(OR(G389="",I389=""),"",G389*I389)</x:f>
      </x:c>
      <x:c r="K389" s="20"/>
      <x:c r="L389" s="20"/>
    </x:row>
    <x:row r="390" ht="22" customHeight="1">
      <x:c r="A390" s="20"/>
      <x:c r="B390" s="22"/>
      <x:c r="C390" s="20"/>
      <x:c r="D390" t="str">
        <x:f>IF(C390="","",IFERROR(VLOOKUP(C390,Customers!$A$6:$B$155,2,FALSE),"INVALID CUSTOMER ID"))</x:f>
      </x:c>
      <x:c r="E390" s="20"/>
      <x:c r="F390" t="str">
        <x:f>IF(E390="","",IFERROR(VLOOKUP(E390,Products!$A$6:$B$110,2,FALSE),"INVALID SKU"))</x:f>
      </x:c>
      <x:c r="G390" s="20"/>
      <x:c r="H390" s="24" t="str">
        <x:f>IF(E390="","",IFERROR(VLOOKUP(E390,Products!$A$6:$D$110,4,FALSE),""))</x:f>
      </x:c>
      <x:c r="I390" s="25"/>
      <x:c r="J390" s="24" t="str">
        <x:f>IF(OR(G390="",I390=""),"",G390*I390)</x:f>
      </x:c>
      <x:c r="K390" s="20"/>
      <x:c r="L390" s="20"/>
    </x:row>
    <x:row r="391" ht="22" customHeight="1">
      <x:c r="A391" s="20"/>
      <x:c r="B391" s="22"/>
      <x:c r="C391" s="20"/>
      <x:c r="D391" t="str">
        <x:f>IF(C391="","",IFERROR(VLOOKUP(C391,Customers!$A$6:$B$155,2,FALSE),"INVALID CUSTOMER ID"))</x:f>
      </x:c>
      <x:c r="E391" s="20"/>
      <x:c r="F391" t="str">
        <x:f>IF(E391="","",IFERROR(VLOOKUP(E391,Products!$A$6:$B$110,2,FALSE),"INVALID SKU"))</x:f>
      </x:c>
      <x:c r="G391" s="20"/>
      <x:c r="H391" s="24" t="str">
        <x:f>IF(E391="","",IFERROR(VLOOKUP(E391,Products!$A$6:$D$110,4,FALSE),""))</x:f>
      </x:c>
      <x:c r="I391" s="25"/>
      <x:c r="J391" s="24" t="str">
        <x:f>IF(OR(G391="",I391=""),"",G391*I391)</x:f>
      </x:c>
      <x:c r="K391" s="20"/>
      <x:c r="L391" s="20"/>
    </x:row>
    <x:row r="392" ht="22" customHeight="1">
      <x:c r="A392" s="20"/>
      <x:c r="B392" s="22"/>
      <x:c r="C392" s="20"/>
      <x:c r="D392" t="str">
        <x:f>IF(C392="","",IFERROR(VLOOKUP(C392,Customers!$A$6:$B$155,2,FALSE),"INVALID CUSTOMER ID"))</x:f>
      </x:c>
      <x:c r="E392" s="20"/>
      <x:c r="F392" t="str">
        <x:f>IF(E392="","",IFERROR(VLOOKUP(E392,Products!$A$6:$B$110,2,FALSE),"INVALID SKU"))</x:f>
      </x:c>
      <x:c r="G392" s="20"/>
      <x:c r="H392" s="24" t="str">
        <x:f>IF(E392="","",IFERROR(VLOOKUP(E392,Products!$A$6:$D$110,4,FALSE),""))</x:f>
      </x:c>
      <x:c r="I392" s="25"/>
      <x:c r="J392" s="24" t="str">
        <x:f>IF(OR(G392="",I392=""),"",G392*I392)</x:f>
      </x:c>
      <x:c r="K392" s="20"/>
      <x:c r="L392" s="20"/>
    </x:row>
    <x:row r="393" ht="22" customHeight="1">
      <x:c r="A393" s="20"/>
      <x:c r="B393" s="22"/>
      <x:c r="C393" s="20"/>
      <x:c r="D393" t="str">
        <x:f>IF(C393="","",IFERROR(VLOOKUP(C393,Customers!$A$6:$B$155,2,FALSE),"INVALID CUSTOMER ID"))</x:f>
      </x:c>
      <x:c r="E393" s="20"/>
      <x:c r="F393" t="str">
        <x:f>IF(E393="","",IFERROR(VLOOKUP(E393,Products!$A$6:$B$110,2,FALSE),"INVALID SKU"))</x:f>
      </x:c>
      <x:c r="G393" s="20"/>
      <x:c r="H393" s="24" t="str">
        <x:f>IF(E393="","",IFERROR(VLOOKUP(E393,Products!$A$6:$D$110,4,FALSE),""))</x:f>
      </x:c>
      <x:c r="I393" s="25"/>
      <x:c r="J393" s="24" t="str">
        <x:f>IF(OR(G393="",I393=""),"",G393*I393)</x:f>
      </x:c>
      <x:c r="K393" s="20"/>
      <x:c r="L393" s="20"/>
    </x:row>
    <x:row r="394" ht="22" customHeight="1">
      <x:c r="A394" s="20"/>
      <x:c r="B394" s="22"/>
      <x:c r="C394" s="20"/>
      <x:c r="D394" t="str">
        <x:f>IF(C394="","",IFERROR(VLOOKUP(C394,Customers!$A$6:$B$155,2,FALSE),"INVALID CUSTOMER ID"))</x:f>
      </x:c>
      <x:c r="E394" s="20"/>
      <x:c r="F394" t="str">
        <x:f>IF(E394="","",IFERROR(VLOOKUP(E394,Products!$A$6:$B$110,2,FALSE),"INVALID SKU"))</x:f>
      </x:c>
      <x:c r="G394" s="20"/>
      <x:c r="H394" s="24" t="str">
        <x:f>IF(E394="","",IFERROR(VLOOKUP(E394,Products!$A$6:$D$110,4,FALSE),""))</x:f>
      </x:c>
      <x:c r="I394" s="25"/>
      <x:c r="J394" s="24" t="str">
        <x:f>IF(OR(G394="",I394=""),"",G394*I394)</x:f>
      </x:c>
      <x:c r="K394" s="20"/>
      <x:c r="L394" s="20"/>
    </x:row>
    <x:row r="395" ht="22" customHeight="1">
      <x:c r="A395" s="20"/>
      <x:c r="B395" s="22"/>
      <x:c r="C395" s="20"/>
      <x:c r="D395" t="str">
        <x:f>IF(C395="","",IFERROR(VLOOKUP(C395,Customers!$A$6:$B$155,2,FALSE),"INVALID CUSTOMER ID"))</x:f>
      </x:c>
      <x:c r="E395" s="20"/>
      <x:c r="F395" t="str">
        <x:f>IF(E395="","",IFERROR(VLOOKUP(E395,Products!$A$6:$B$110,2,FALSE),"INVALID SKU"))</x:f>
      </x:c>
      <x:c r="G395" s="20"/>
      <x:c r="H395" s="24" t="str">
        <x:f>IF(E395="","",IFERROR(VLOOKUP(E395,Products!$A$6:$D$110,4,FALSE),""))</x:f>
      </x:c>
      <x:c r="I395" s="25"/>
      <x:c r="J395" s="24" t="str">
        <x:f>IF(OR(G395="",I395=""),"",G395*I395)</x:f>
      </x:c>
      <x:c r="K395" s="20"/>
      <x:c r="L395" s="20"/>
    </x:row>
    <x:row r="396" ht="22" customHeight="1">
      <x:c r="A396" s="20"/>
      <x:c r="B396" s="22"/>
      <x:c r="C396" s="20"/>
      <x:c r="D396" t="str">
        <x:f>IF(C396="","",IFERROR(VLOOKUP(C396,Customers!$A$6:$B$155,2,FALSE),"INVALID CUSTOMER ID"))</x:f>
      </x:c>
      <x:c r="E396" s="20"/>
      <x:c r="F396" t="str">
        <x:f>IF(E396="","",IFERROR(VLOOKUP(E396,Products!$A$6:$B$110,2,FALSE),"INVALID SKU"))</x:f>
      </x:c>
      <x:c r="G396" s="20"/>
      <x:c r="H396" s="24" t="str">
        <x:f>IF(E396="","",IFERROR(VLOOKUP(E396,Products!$A$6:$D$110,4,FALSE),""))</x:f>
      </x:c>
      <x:c r="I396" s="25"/>
      <x:c r="J396" s="24" t="str">
        <x:f>IF(OR(G396="",I396=""),"",G396*I396)</x:f>
      </x:c>
      <x:c r="K396" s="20"/>
      <x:c r="L396" s="20"/>
    </x:row>
    <x:row r="397" ht="22" customHeight="1">
      <x:c r="A397" s="20"/>
      <x:c r="B397" s="22"/>
      <x:c r="C397" s="20"/>
      <x:c r="D397" t="str">
        <x:f>IF(C397="","",IFERROR(VLOOKUP(C397,Customers!$A$6:$B$155,2,FALSE),"INVALID CUSTOMER ID"))</x:f>
      </x:c>
      <x:c r="E397" s="20"/>
      <x:c r="F397" t="str">
        <x:f>IF(E397="","",IFERROR(VLOOKUP(E397,Products!$A$6:$B$110,2,FALSE),"INVALID SKU"))</x:f>
      </x:c>
      <x:c r="G397" s="20"/>
      <x:c r="H397" s="24" t="str">
        <x:f>IF(E397="","",IFERROR(VLOOKUP(E397,Products!$A$6:$D$110,4,FALSE),""))</x:f>
      </x:c>
      <x:c r="I397" s="25"/>
      <x:c r="J397" s="24" t="str">
        <x:f>IF(OR(G397="",I397=""),"",G397*I397)</x:f>
      </x:c>
      <x:c r="K397" s="20"/>
      <x:c r="L397" s="20"/>
    </x:row>
    <x:row r="398" ht="22" customHeight="1">
      <x:c r="A398" s="20"/>
      <x:c r="B398" s="22"/>
      <x:c r="C398" s="20"/>
      <x:c r="D398" t="str">
        <x:f>IF(C398="","",IFERROR(VLOOKUP(C398,Customers!$A$6:$B$155,2,FALSE),"INVALID CUSTOMER ID"))</x:f>
      </x:c>
      <x:c r="E398" s="20"/>
      <x:c r="F398" t="str">
        <x:f>IF(E398="","",IFERROR(VLOOKUP(E398,Products!$A$6:$B$110,2,FALSE),"INVALID SKU"))</x:f>
      </x:c>
      <x:c r="G398" s="20"/>
      <x:c r="H398" s="24" t="str">
        <x:f>IF(E398="","",IFERROR(VLOOKUP(E398,Products!$A$6:$D$110,4,FALSE),""))</x:f>
      </x:c>
      <x:c r="I398" s="25"/>
      <x:c r="J398" s="24" t="str">
        <x:f>IF(OR(G398="",I398=""),"",G398*I398)</x:f>
      </x:c>
      <x:c r="K398" s="20"/>
      <x:c r="L398" s="20"/>
    </x:row>
    <x:row r="399" ht="22" customHeight="1">
      <x:c r="A399" s="20"/>
      <x:c r="B399" s="22"/>
      <x:c r="C399" s="20"/>
      <x:c r="D399" t="str">
        <x:f>IF(C399="","",IFERROR(VLOOKUP(C399,Customers!$A$6:$B$155,2,FALSE),"INVALID CUSTOMER ID"))</x:f>
      </x:c>
      <x:c r="E399" s="20"/>
      <x:c r="F399" t="str">
        <x:f>IF(E399="","",IFERROR(VLOOKUP(E399,Products!$A$6:$B$110,2,FALSE),"INVALID SKU"))</x:f>
      </x:c>
      <x:c r="G399" s="20"/>
      <x:c r="H399" s="24" t="str">
        <x:f>IF(E399="","",IFERROR(VLOOKUP(E399,Products!$A$6:$D$110,4,FALSE),""))</x:f>
      </x:c>
      <x:c r="I399" s="25"/>
      <x:c r="J399" s="24" t="str">
        <x:f>IF(OR(G399="",I399=""),"",G399*I399)</x:f>
      </x:c>
      <x:c r="K399" s="20"/>
      <x:c r="L399" s="20"/>
    </x:row>
    <x:row r="400" ht="22" customHeight="1">
      <x:c r="A400" s="20"/>
      <x:c r="B400" s="22"/>
      <x:c r="C400" s="20"/>
      <x:c r="D400" t="str">
        <x:f>IF(C400="","",IFERROR(VLOOKUP(C400,Customers!$A$6:$B$155,2,FALSE),"INVALID CUSTOMER ID"))</x:f>
      </x:c>
      <x:c r="E400" s="20"/>
      <x:c r="F400" t="str">
        <x:f>IF(E400="","",IFERROR(VLOOKUP(E400,Products!$A$6:$B$110,2,FALSE),"INVALID SKU"))</x:f>
      </x:c>
      <x:c r="G400" s="20"/>
      <x:c r="H400" s="24" t="str">
        <x:f>IF(E400="","",IFERROR(VLOOKUP(E400,Products!$A$6:$D$110,4,FALSE),""))</x:f>
      </x:c>
      <x:c r="I400" s="25"/>
      <x:c r="J400" s="24" t="str">
        <x:f>IF(OR(G400="",I400=""),"",G400*I400)</x:f>
      </x:c>
      <x:c r="K400" s="20"/>
      <x:c r="L400" s="20"/>
    </x:row>
    <x:row r="401" ht="22" customHeight="1">
      <x:c r="A401" s="20"/>
      <x:c r="B401" s="22"/>
      <x:c r="C401" s="20"/>
      <x:c r="D401" t="str">
        <x:f>IF(C401="","",IFERROR(VLOOKUP(C401,Customers!$A$6:$B$155,2,FALSE),"INVALID CUSTOMER ID"))</x:f>
      </x:c>
      <x:c r="E401" s="20"/>
      <x:c r="F401" t="str">
        <x:f>IF(E401="","",IFERROR(VLOOKUP(E401,Products!$A$6:$B$110,2,FALSE),"INVALID SKU"))</x:f>
      </x:c>
      <x:c r="G401" s="20"/>
      <x:c r="H401" s="24" t="str">
        <x:f>IF(E401="","",IFERROR(VLOOKUP(E401,Products!$A$6:$D$110,4,FALSE),""))</x:f>
      </x:c>
      <x:c r="I401" s="25"/>
      <x:c r="J401" s="24" t="str">
        <x:f>IF(OR(G401="",I401=""),"",G401*I401)</x:f>
      </x:c>
      <x:c r="K401" s="20"/>
      <x:c r="L401" s="20"/>
    </x:row>
    <x:row r="402" ht="22" customHeight="1">
      <x:c r="A402" s="20"/>
      <x:c r="B402" s="22"/>
      <x:c r="C402" s="20"/>
      <x:c r="D402" t="str">
        <x:f>IF(C402="","",IFERROR(VLOOKUP(C402,Customers!$A$6:$B$155,2,FALSE),"INVALID CUSTOMER ID"))</x:f>
      </x:c>
      <x:c r="E402" s="20"/>
      <x:c r="F402" t="str">
        <x:f>IF(E402="","",IFERROR(VLOOKUP(E402,Products!$A$6:$B$110,2,FALSE),"INVALID SKU"))</x:f>
      </x:c>
      <x:c r="G402" s="20"/>
      <x:c r="H402" s="24" t="str">
        <x:f>IF(E402="","",IFERROR(VLOOKUP(E402,Products!$A$6:$D$110,4,FALSE),""))</x:f>
      </x:c>
      <x:c r="I402" s="25"/>
      <x:c r="J402" s="24" t="str">
        <x:f>IF(OR(G402="",I402=""),"",G402*I402)</x:f>
      </x:c>
      <x:c r="K402" s="20"/>
      <x:c r="L402" s="20"/>
    </x:row>
    <x:row r="403" ht="22" customHeight="1">
      <x:c r="A403" s="20"/>
      <x:c r="B403" s="22"/>
      <x:c r="C403" s="20"/>
      <x:c r="D403" t="str">
        <x:f>IF(C403="","",IFERROR(VLOOKUP(C403,Customers!$A$6:$B$155,2,FALSE),"INVALID CUSTOMER ID"))</x:f>
      </x:c>
      <x:c r="E403" s="20"/>
      <x:c r="F403" t="str">
        <x:f>IF(E403="","",IFERROR(VLOOKUP(E403,Products!$A$6:$B$110,2,FALSE),"INVALID SKU"))</x:f>
      </x:c>
      <x:c r="G403" s="20"/>
      <x:c r="H403" s="24" t="str">
        <x:f>IF(E403="","",IFERROR(VLOOKUP(E403,Products!$A$6:$D$110,4,FALSE),""))</x:f>
      </x:c>
      <x:c r="I403" s="25"/>
      <x:c r="J403" s="24" t="str">
        <x:f>IF(OR(G403="",I403=""),"",G403*I403)</x:f>
      </x:c>
      <x:c r="K403" s="20"/>
      <x:c r="L403" s="20"/>
    </x:row>
    <x:row r="404" ht="22" customHeight="1">
      <x:c r="A404" s="20"/>
      <x:c r="B404" s="22"/>
      <x:c r="C404" s="20"/>
      <x:c r="D404" t="str">
        <x:f>IF(C404="","",IFERROR(VLOOKUP(C404,Customers!$A$6:$B$155,2,FALSE),"INVALID CUSTOMER ID"))</x:f>
      </x:c>
      <x:c r="E404" s="20"/>
      <x:c r="F404" t="str">
        <x:f>IF(E404="","",IFERROR(VLOOKUP(E404,Products!$A$6:$B$110,2,FALSE),"INVALID SKU"))</x:f>
      </x:c>
      <x:c r="G404" s="20"/>
      <x:c r="H404" s="24" t="str">
        <x:f>IF(E404="","",IFERROR(VLOOKUP(E404,Products!$A$6:$D$110,4,FALSE),""))</x:f>
      </x:c>
      <x:c r="I404" s="25"/>
      <x:c r="J404" s="24" t="str">
        <x:f>IF(OR(G404="",I404=""),"",G404*I404)</x:f>
      </x:c>
      <x:c r="K404" s="20"/>
      <x:c r="L404" s="20"/>
    </x:row>
    <x:row r="405" ht="22" customHeight="1">
      <x:c r="A405" s="20"/>
      <x:c r="B405" s="22"/>
      <x:c r="C405" s="20"/>
      <x:c r="D405" t="str">
        <x:f>IF(C405="","",IFERROR(VLOOKUP(C405,Customers!$A$6:$B$155,2,FALSE),"INVALID CUSTOMER ID"))</x:f>
      </x:c>
      <x:c r="E405" s="20"/>
      <x:c r="F405" t="str">
        <x:f>IF(E405="","",IFERROR(VLOOKUP(E405,Products!$A$6:$B$110,2,FALSE),"INVALID SKU"))</x:f>
      </x:c>
      <x:c r="G405" s="20"/>
      <x:c r="H405" s="24" t="str">
        <x:f>IF(E405="","",IFERROR(VLOOKUP(E405,Products!$A$6:$D$110,4,FALSE),""))</x:f>
      </x:c>
      <x:c r="I405" s="25"/>
      <x:c r="J405" s="24" t="str">
        <x:f>IF(OR(G405="",I405=""),"",G405*I405)</x:f>
      </x:c>
      <x:c r="K405" s="20"/>
      <x:c r="L405" s="20"/>
    </x:row>
    <x:row r="406" ht="22" customHeight="1">
      <x:c r="A406" s="20"/>
      <x:c r="B406" s="22"/>
      <x:c r="C406" s="20"/>
      <x:c r="D406" t="str">
        <x:f>IF(C406="","",IFERROR(VLOOKUP(C406,Customers!$A$6:$B$155,2,FALSE),"INVALID CUSTOMER ID"))</x:f>
      </x:c>
      <x:c r="E406" s="20"/>
      <x:c r="F406" t="str">
        <x:f>IF(E406="","",IFERROR(VLOOKUP(E406,Products!$A$6:$B$110,2,FALSE),"INVALID SKU"))</x:f>
      </x:c>
      <x:c r="G406" s="20"/>
      <x:c r="H406" s="24" t="str">
        <x:f>IF(E406="","",IFERROR(VLOOKUP(E406,Products!$A$6:$D$110,4,FALSE),""))</x:f>
      </x:c>
      <x:c r="I406" s="25"/>
      <x:c r="J406" s="24" t="str">
        <x:f>IF(OR(G406="",I406=""),"",G406*I406)</x:f>
      </x:c>
      <x:c r="K406" s="20"/>
      <x:c r="L406" s="20"/>
    </x:row>
    <x:row r="407" ht="22" customHeight="1">
      <x:c r="A407" s="20"/>
      <x:c r="B407" s="22"/>
      <x:c r="C407" s="20"/>
      <x:c r="D407" t="str">
        <x:f>IF(C407="","",IFERROR(VLOOKUP(C407,Customers!$A$6:$B$155,2,FALSE),"INVALID CUSTOMER ID"))</x:f>
      </x:c>
      <x:c r="E407" s="20"/>
      <x:c r="F407" t="str">
        <x:f>IF(E407="","",IFERROR(VLOOKUP(E407,Products!$A$6:$B$110,2,FALSE),"INVALID SKU"))</x:f>
      </x:c>
      <x:c r="G407" s="20"/>
      <x:c r="H407" s="24" t="str">
        <x:f>IF(E407="","",IFERROR(VLOOKUP(E407,Products!$A$6:$D$110,4,FALSE),""))</x:f>
      </x:c>
      <x:c r="I407" s="25"/>
      <x:c r="J407" s="24" t="str">
        <x:f>IF(OR(G407="",I407=""),"",G407*I407)</x:f>
      </x:c>
      <x:c r="K407" s="20"/>
      <x:c r="L407" s="20"/>
    </x:row>
    <x:row r="408" ht="22" customHeight="1">
      <x:c r="A408" s="20"/>
      <x:c r="B408" s="22"/>
      <x:c r="C408" s="20"/>
      <x:c r="D408" t="str">
        <x:f>IF(C408="","",IFERROR(VLOOKUP(C408,Customers!$A$6:$B$155,2,FALSE),"INVALID CUSTOMER ID"))</x:f>
      </x:c>
      <x:c r="E408" s="20"/>
      <x:c r="F408" t="str">
        <x:f>IF(E408="","",IFERROR(VLOOKUP(E408,Products!$A$6:$B$110,2,FALSE),"INVALID SKU"))</x:f>
      </x:c>
      <x:c r="G408" s="20"/>
      <x:c r="H408" s="24" t="str">
        <x:f>IF(E408="","",IFERROR(VLOOKUP(E408,Products!$A$6:$D$110,4,FALSE),""))</x:f>
      </x:c>
      <x:c r="I408" s="25"/>
      <x:c r="J408" s="24" t="str">
        <x:f>IF(OR(G408="",I408=""),"",G408*I408)</x:f>
      </x:c>
      <x:c r="K408" s="20"/>
      <x:c r="L408" s="20"/>
    </x:row>
    <x:row r="409" ht="22" customHeight="1">
      <x:c r="A409" s="20"/>
      <x:c r="B409" s="22"/>
      <x:c r="C409" s="20"/>
      <x:c r="D409" t="str">
        <x:f>IF(C409="","",IFERROR(VLOOKUP(C409,Customers!$A$6:$B$155,2,FALSE),"INVALID CUSTOMER ID"))</x:f>
      </x:c>
      <x:c r="E409" s="20"/>
      <x:c r="F409" t="str">
        <x:f>IF(E409="","",IFERROR(VLOOKUP(E409,Products!$A$6:$B$110,2,FALSE),"INVALID SKU"))</x:f>
      </x:c>
      <x:c r="G409" s="20"/>
      <x:c r="H409" s="24" t="str">
        <x:f>IF(E409="","",IFERROR(VLOOKUP(E409,Products!$A$6:$D$110,4,FALSE),""))</x:f>
      </x:c>
      <x:c r="I409" s="25"/>
      <x:c r="J409" s="24" t="str">
        <x:f>IF(OR(G409="",I409=""),"",G409*I409)</x:f>
      </x:c>
      <x:c r="K409" s="20"/>
      <x:c r="L409" s="20"/>
    </x:row>
    <x:row r="410" ht="22" customHeight="1">
      <x:c r="A410" s="20"/>
      <x:c r="B410" s="22"/>
      <x:c r="C410" s="20"/>
      <x:c r="D410" t="str">
        <x:f>IF(C410="","",IFERROR(VLOOKUP(C410,Customers!$A$6:$B$155,2,FALSE),"INVALID CUSTOMER ID"))</x:f>
      </x:c>
      <x:c r="E410" s="20"/>
      <x:c r="F410" t="str">
        <x:f>IF(E410="","",IFERROR(VLOOKUP(E410,Products!$A$6:$B$110,2,FALSE),"INVALID SKU"))</x:f>
      </x:c>
      <x:c r="G410" s="20"/>
      <x:c r="H410" s="24" t="str">
        <x:f>IF(E410="","",IFERROR(VLOOKUP(E410,Products!$A$6:$D$110,4,FALSE),""))</x:f>
      </x:c>
      <x:c r="I410" s="25"/>
      <x:c r="J410" s="24" t="str">
        <x:f>IF(OR(G410="",I410=""),"",G410*I410)</x:f>
      </x:c>
      <x:c r="K410" s="20"/>
      <x:c r="L410" s="20"/>
    </x:row>
    <x:row r="411" ht="22" customHeight="1">
      <x:c r="A411" s="20"/>
      <x:c r="B411" s="22"/>
      <x:c r="C411" s="20"/>
      <x:c r="D411" t="str">
        <x:f>IF(C411="","",IFERROR(VLOOKUP(C411,Customers!$A$6:$B$155,2,FALSE),"INVALID CUSTOMER ID"))</x:f>
      </x:c>
      <x:c r="E411" s="20"/>
      <x:c r="F411" t="str">
        <x:f>IF(E411="","",IFERROR(VLOOKUP(E411,Products!$A$6:$B$110,2,FALSE),"INVALID SKU"))</x:f>
      </x:c>
      <x:c r="G411" s="20"/>
      <x:c r="H411" s="24" t="str">
        <x:f>IF(E411="","",IFERROR(VLOOKUP(E411,Products!$A$6:$D$110,4,FALSE),""))</x:f>
      </x:c>
      <x:c r="I411" s="25"/>
      <x:c r="J411" s="24" t="str">
        <x:f>IF(OR(G411="",I411=""),"",G411*I411)</x:f>
      </x:c>
      <x:c r="K411" s="20"/>
      <x:c r="L411" s="20"/>
    </x:row>
    <x:row r="412" ht="22" customHeight="1">
      <x:c r="A412" s="20"/>
      <x:c r="B412" s="22"/>
      <x:c r="C412" s="20"/>
      <x:c r="D412" t="str">
        <x:f>IF(C412="","",IFERROR(VLOOKUP(C412,Customers!$A$6:$B$155,2,FALSE),"INVALID CUSTOMER ID"))</x:f>
      </x:c>
      <x:c r="E412" s="20"/>
      <x:c r="F412" t="str">
        <x:f>IF(E412="","",IFERROR(VLOOKUP(E412,Products!$A$6:$B$110,2,FALSE),"INVALID SKU"))</x:f>
      </x:c>
      <x:c r="G412" s="20"/>
      <x:c r="H412" s="24" t="str">
        <x:f>IF(E412="","",IFERROR(VLOOKUP(E412,Products!$A$6:$D$110,4,FALSE),""))</x:f>
      </x:c>
      <x:c r="I412" s="25"/>
      <x:c r="J412" s="24" t="str">
        <x:f>IF(OR(G412="",I412=""),"",G412*I412)</x:f>
      </x:c>
      <x:c r="K412" s="20"/>
      <x:c r="L412" s="20"/>
    </x:row>
    <x:row r="413" ht="22" customHeight="1">
      <x:c r="A413" s="20"/>
      <x:c r="B413" s="22"/>
      <x:c r="C413" s="20"/>
      <x:c r="D413" t="str">
        <x:f>IF(C413="","",IFERROR(VLOOKUP(C413,Customers!$A$6:$B$155,2,FALSE),"INVALID CUSTOMER ID"))</x:f>
      </x:c>
      <x:c r="E413" s="20"/>
      <x:c r="F413" t="str">
        <x:f>IF(E413="","",IFERROR(VLOOKUP(E413,Products!$A$6:$B$110,2,FALSE),"INVALID SKU"))</x:f>
      </x:c>
      <x:c r="G413" s="20"/>
      <x:c r="H413" s="24" t="str">
        <x:f>IF(E413="","",IFERROR(VLOOKUP(E413,Products!$A$6:$D$110,4,FALSE),""))</x:f>
      </x:c>
      <x:c r="I413" s="25"/>
      <x:c r="J413" s="24" t="str">
        <x:f>IF(OR(G413="",I413=""),"",G413*I413)</x:f>
      </x:c>
      <x:c r="K413" s="20"/>
      <x:c r="L413" s="20"/>
    </x:row>
    <x:row r="414" ht="22" customHeight="1">
      <x:c r="A414" s="20"/>
      <x:c r="B414" s="22"/>
      <x:c r="C414" s="20"/>
      <x:c r="D414" t="str">
        <x:f>IF(C414="","",IFERROR(VLOOKUP(C414,Customers!$A$6:$B$155,2,FALSE),"INVALID CUSTOMER ID"))</x:f>
      </x:c>
      <x:c r="E414" s="20"/>
      <x:c r="F414" t="str">
        <x:f>IF(E414="","",IFERROR(VLOOKUP(E414,Products!$A$6:$B$110,2,FALSE),"INVALID SKU"))</x:f>
      </x:c>
      <x:c r="G414" s="20"/>
      <x:c r="H414" s="24" t="str">
        <x:f>IF(E414="","",IFERROR(VLOOKUP(E414,Products!$A$6:$D$110,4,FALSE),""))</x:f>
      </x:c>
      <x:c r="I414" s="25"/>
      <x:c r="J414" s="24" t="str">
        <x:f>IF(OR(G414="",I414=""),"",G414*I414)</x:f>
      </x:c>
      <x:c r="K414" s="20"/>
      <x:c r="L414" s="20"/>
    </x:row>
    <x:row r="415" ht="22" customHeight="1">
      <x:c r="A415" s="20"/>
      <x:c r="B415" s="22"/>
      <x:c r="C415" s="20"/>
      <x:c r="D415" t="str">
        <x:f>IF(C415="","",IFERROR(VLOOKUP(C415,Customers!$A$6:$B$155,2,FALSE),"INVALID CUSTOMER ID"))</x:f>
      </x:c>
      <x:c r="E415" s="20"/>
      <x:c r="F415" t="str">
        <x:f>IF(E415="","",IFERROR(VLOOKUP(E415,Products!$A$6:$B$110,2,FALSE),"INVALID SKU"))</x:f>
      </x:c>
      <x:c r="G415" s="20"/>
      <x:c r="H415" s="24" t="str">
        <x:f>IF(E415="","",IFERROR(VLOOKUP(E415,Products!$A$6:$D$110,4,FALSE),""))</x:f>
      </x:c>
      <x:c r="I415" s="25"/>
      <x:c r="J415" s="24" t="str">
        <x:f>IF(OR(G415="",I415=""),"",G415*I415)</x:f>
      </x:c>
      <x:c r="K415" s="20"/>
      <x:c r="L415" s="20"/>
    </x:row>
    <x:row r="416" ht="22" customHeight="1">
      <x:c r="A416" s="20"/>
      <x:c r="B416" s="22"/>
      <x:c r="C416" s="20"/>
      <x:c r="D416" t="str">
        <x:f>IF(C416="","",IFERROR(VLOOKUP(C416,Customers!$A$6:$B$155,2,FALSE),"INVALID CUSTOMER ID"))</x:f>
      </x:c>
      <x:c r="E416" s="20"/>
      <x:c r="F416" t="str">
        <x:f>IF(E416="","",IFERROR(VLOOKUP(E416,Products!$A$6:$B$110,2,FALSE),"INVALID SKU"))</x:f>
      </x:c>
      <x:c r="G416" s="20"/>
      <x:c r="H416" s="24" t="str">
        <x:f>IF(E416="","",IFERROR(VLOOKUP(E416,Products!$A$6:$D$110,4,FALSE),""))</x:f>
      </x:c>
      <x:c r="I416" s="25"/>
      <x:c r="J416" s="24" t="str">
        <x:f>IF(OR(G416="",I416=""),"",G416*I416)</x:f>
      </x:c>
      <x:c r="K416" s="20"/>
      <x:c r="L416" s="20"/>
    </x:row>
    <x:row r="417" ht="22" customHeight="1">
      <x:c r="A417" s="20"/>
      <x:c r="B417" s="22"/>
      <x:c r="C417" s="20"/>
      <x:c r="D417" t="str">
        <x:f>IF(C417="","",IFERROR(VLOOKUP(C417,Customers!$A$6:$B$155,2,FALSE),"INVALID CUSTOMER ID"))</x:f>
      </x:c>
      <x:c r="E417" s="20"/>
      <x:c r="F417" t="str">
        <x:f>IF(E417="","",IFERROR(VLOOKUP(E417,Products!$A$6:$B$110,2,FALSE),"INVALID SKU"))</x:f>
      </x:c>
      <x:c r="G417" s="20"/>
      <x:c r="H417" s="24" t="str">
        <x:f>IF(E417="","",IFERROR(VLOOKUP(E417,Products!$A$6:$D$110,4,FALSE),""))</x:f>
      </x:c>
      <x:c r="I417" s="25"/>
      <x:c r="J417" s="24" t="str">
        <x:f>IF(OR(G417="",I417=""),"",G417*I417)</x:f>
      </x:c>
      <x:c r="K417" s="20"/>
      <x:c r="L417" s="20"/>
    </x:row>
    <x:row r="418" ht="22" customHeight="1">
      <x:c r="A418" s="20"/>
      <x:c r="B418" s="22"/>
      <x:c r="C418" s="20"/>
      <x:c r="D418" t="str">
        <x:f>IF(C418="","",IFERROR(VLOOKUP(C418,Customers!$A$6:$B$155,2,FALSE),"INVALID CUSTOMER ID"))</x:f>
      </x:c>
      <x:c r="E418" s="20"/>
      <x:c r="F418" t="str">
        <x:f>IF(E418="","",IFERROR(VLOOKUP(E418,Products!$A$6:$B$110,2,FALSE),"INVALID SKU"))</x:f>
      </x:c>
      <x:c r="G418" s="20"/>
      <x:c r="H418" s="24" t="str">
        <x:f>IF(E418="","",IFERROR(VLOOKUP(E418,Products!$A$6:$D$110,4,FALSE),""))</x:f>
      </x:c>
      <x:c r="I418" s="25"/>
      <x:c r="J418" s="24" t="str">
        <x:f>IF(OR(G418="",I418=""),"",G418*I418)</x:f>
      </x:c>
      <x:c r="K418" s="20"/>
      <x:c r="L418" s="20"/>
    </x:row>
    <x:row r="419" ht="22" customHeight="1">
      <x:c r="A419" s="20"/>
      <x:c r="B419" s="22"/>
      <x:c r="C419" s="20"/>
      <x:c r="D419" t="str">
        <x:f>IF(C419="","",IFERROR(VLOOKUP(C419,Customers!$A$6:$B$155,2,FALSE),"INVALID CUSTOMER ID"))</x:f>
      </x:c>
      <x:c r="E419" s="20"/>
      <x:c r="F419" t="str">
        <x:f>IF(E419="","",IFERROR(VLOOKUP(E419,Products!$A$6:$B$110,2,FALSE),"INVALID SKU"))</x:f>
      </x:c>
      <x:c r="G419" s="20"/>
      <x:c r="H419" s="24" t="str">
        <x:f>IF(E419="","",IFERROR(VLOOKUP(E419,Products!$A$6:$D$110,4,FALSE),""))</x:f>
      </x:c>
      <x:c r="I419" s="25"/>
      <x:c r="J419" s="24" t="str">
        <x:f>IF(OR(G419="",I419=""),"",G419*I419)</x:f>
      </x:c>
      <x:c r="K419" s="20"/>
      <x:c r="L419" s="20"/>
    </x:row>
    <x:row r="420" ht="22" customHeight="1">
      <x:c r="A420" s="20"/>
      <x:c r="B420" s="22"/>
      <x:c r="C420" s="20"/>
      <x:c r="D420" t="str">
        <x:f>IF(C420="","",IFERROR(VLOOKUP(C420,Customers!$A$6:$B$155,2,FALSE),"INVALID CUSTOMER ID"))</x:f>
      </x:c>
      <x:c r="E420" s="20"/>
      <x:c r="F420" t="str">
        <x:f>IF(E420="","",IFERROR(VLOOKUP(E420,Products!$A$6:$B$110,2,FALSE),"INVALID SKU"))</x:f>
      </x:c>
      <x:c r="G420" s="20"/>
      <x:c r="H420" s="24" t="str">
        <x:f>IF(E420="","",IFERROR(VLOOKUP(E420,Products!$A$6:$D$110,4,FALSE),""))</x:f>
      </x:c>
      <x:c r="I420" s="25"/>
      <x:c r="J420" s="24" t="str">
        <x:f>IF(OR(G420="",I420=""),"",G420*I420)</x:f>
      </x:c>
      <x:c r="K420" s="20"/>
      <x:c r="L420" s="20"/>
    </x:row>
    <x:row r="421" ht="22" customHeight="1">
      <x:c r="A421" s="20"/>
      <x:c r="B421" s="22"/>
      <x:c r="C421" s="20"/>
      <x:c r="D421" t="str">
        <x:f>IF(C421="","",IFERROR(VLOOKUP(C421,Customers!$A$6:$B$155,2,FALSE),"INVALID CUSTOMER ID"))</x:f>
      </x:c>
      <x:c r="E421" s="20"/>
      <x:c r="F421" t="str">
        <x:f>IF(E421="","",IFERROR(VLOOKUP(E421,Products!$A$6:$B$110,2,FALSE),"INVALID SKU"))</x:f>
      </x:c>
      <x:c r="G421" s="20"/>
      <x:c r="H421" s="24" t="str">
        <x:f>IF(E421="","",IFERROR(VLOOKUP(E421,Products!$A$6:$D$110,4,FALSE),""))</x:f>
      </x:c>
      <x:c r="I421" s="25"/>
      <x:c r="J421" s="24" t="str">
        <x:f>IF(OR(G421="",I421=""),"",G421*I421)</x:f>
      </x:c>
      <x:c r="K421" s="20"/>
      <x:c r="L421" s="20"/>
    </x:row>
    <x:row r="422" ht="22" customHeight="1">
      <x:c r="A422" s="20"/>
      <x:c r="B422" s="22"/>
      <x:c r="C422" s="20"/>
      <x:c r="D422" t="str">
        <x:f>IF(C422="","",IFERROR(VLOOKUP(C422,Customers!$A$6:$B$155,2,FALSE),"INVALID CUSTOMER ID"))</x:f>
      </x:c>
      <x:c r="E422" s="20"/>
      <x:c r="F422" t="str">
        <x:f>IF(E422="","",IFERROR(VLOOKUP(E422,Products!$A$6:$B$110,2,FALSE),"INVALID SKU"))</x:f>
      </x:c>
      <x:c r="G422" s="20"/>
      <x:c r="H422" s="24" t="str">
        <x:f>IF(E422="","",IFERROR(VLOOKUP(E422,Products!$A$6:$D$110,4,FALSE),""))</x:f>
      </x:c>
      <x:c r="I422" s="25"/>
      <x:c r="J422" s="24" t="str">
        <x:f>IF(OR(G422="",I422=""),"",G422*I422)</x:f>
      </x:c>
      <x:c r="K422" s="20"/>
      <x:c r="L422" s="20"/>
    </x:row>
    <x:row r="423" ht="22" customHeight="1">
      <x:c r="A423" s="20"/>
      <x:c r="B423" s="22"/>
      <x:c r="C423" s="20"/>
      <x:c r="D423" t="str">
        <x:f>IF(C423="","",IFERROR(VLOOKUP(C423,Customers!$A$6:$B$155,2,FALSE),"INVALID CUSTOMER ID"))</x:f>
      </x:c>
      <x:c r="E423" s="20"/>
      <x:c r="F423" t="str">
        <x:f>IF(E423="","",IFERROR(VLOOKUP(E423,Products!$A$6:$B$110,2,FALSE),"INVALID SKU"))</x:f>
      </x:c>
      <x:c r="G423" s="20"/>
      <x:c r="H423" s="24" t="str">
        <x:f>IF(E423="","",IFERROR(VLOOKUP(E423,Products!$A$6:$D$110,4,FALSE),""))</x:f>
      </x:c>
      <x:c r="I423" s="25"/>
      <x:c r="J423" s="24" t="str">
        <x:f>IF(OR(G423="",I423=""),"",G423*I423)</x:f>
      </x:c>
      <x:c r="K423" s="20"/>
      <x:c r="L423" s="20"/>
    </x:row>
    <x:row r="424" ht="22" customHeight="1">
      <x:c r="A424" s="20"/>
      <x:c r="B424" s="22"/>
      <x:c r="C424" s="20"/>
      <x:c r="D424" t="str">
        <x:f>IF(C424="","",IFERROR(VLOOKUP(C424,Customers!$A$6:$B$155,2,FALSE),"INVALID CUSTOMER ID"))</x:f>
      </x:c>
      <x:c r="E424" s="20"/>
      <x:c r="F424" t="str">
        <x:f>IF(E424="","",IFERROR(VLOOKUP(E424,Products!$A$6:$B$110,2,FALSE),"INVALID SKU"))</x:f>
      </x:c>
      <x:c r="G424" s="20"/>
      <x:c r="H424" s="24" t="str">
        <x:f>IF(E424="","",IFERROR(VLOOKUP(E424,Products!$A$6:$D$110,4,FALSE),""))</x:f>
      </x:c>
      <x:c r="I424" s="25"/>
      <x:c r="J424" s="24" t="str">
        <x:f>IF(OR(G424="",I424=""),"",G424*I424)</x:f>
      </x:c>
      <x:c r="K424" s="20"/>
      <x:c r="L424" s="20"/>
    </x:row>
    <x:row r="425" ht="22" customHeight="1">
      <x:c r="A425" s="20"/>
      <x:c r="B425" s="22"/>
      <x:c r="C425" s="20"/>
      <x:c r="D425" t="str">
        <x:f>IF(C425="","",IFERROR(VLOOKUP(C425,Customers!$A$6:$B$155,2,FALSE),"INVALID CUSTOMER ID"))</x:f>
      </x:c>
      <x:c r="E425" s="20"/>
      <x:c r="F425" t="str">
        <x:f>IF(E425="","",IFERROR(VLOOKUP(E425,Products!$A$6:$B$110,2,FALSE),"INVALID SKU"))</x:f>
      </x:c>
      <x:c r="G425" s="20"/>
      <x:c r="H425" s="24" t="str">
        <x:f>IF(E425="","",IFERROR(VLOOKUP(E425,Products!$A$6:$D$110,4,FALSE),""))</x:f>
      </x:c>
      <x:c r="I425" s="25"/>
      <x:c r="J425" s="24" t="str">
        <x:f>IF(OR(G425="",I425=""),"",G425*I425)</x:f>
      </x:c>
      <x:c r="K425" s="20"/>
      <x:c r="L425" s="20"/>
    </x:row>
    <x:row r="426" ht="22" customHeight="1">
      <x:c r="A426" s="20"/>
      <x:c r="B426" s="22"/>
      <x:c r="C426" s="20"/>
      <x:c r="D426" t="str">
        <x:f>IF(C426="","",IFERROR(VLOOKUP(C426,Customers!$A$6:$B$155,2,FALSE),"INVALID CUSTOMER ID"))</x:f>
      </x:c>
      <x:c r="E426" s="20"/>
      <x:c r="F426" t="str">
        <x:f>IF(E426="","",IFERROR(VLOOKUP(E426,Products!$A$6:$B$110,2,FALSE),"INVALID SKU"))</x:f>
      </x:c>
      <x:c r="G426" s="20"/>
      <x:c r="H426" s="24" t="str">
        <x:f>IF(E426="","",IFERROR(VLOOKUP(E426,Products!$A$6:$D$110,4,FALSE),""))</x:f>
      </x:c>
      <x:c r="I426" s="25"/>
      <x:c r="J426" s="24" t="str">
        <x:f>IF(OR(G426="",I426=""),"",G426*I426)</x:f>
      </x:c>
      <x:c r="K426" s="20"/>
      <x:c r="L426" s="20"/>
    </x:row>
    <x:row r="427" ht="22" customHeight="1">
      <x:c r="A427" s="20"/>
      <x:c r="B427" s="22"/>
      <x:c r="C427" s="20"/>
      <x:c r="D427" t="str">
        <x:f>IF(C427="","",IFERROR(VLOOKUP(C427,Customers!$A$6:$B$155,2,FALSE),"INVALID CUSTOMER ID"))</x:f>
      </x:c>
      <x:c r="E427" s="20"/>
      <x:c r="F427" t="str">
        <x:f>IF(E427="","",IFERROR(VLOOKUP(E427,Products!$A$6:$B$110,2,FALSE),"INVALID SKU"))</x:f>
      </x:c>
      <x:c r="G427" s="20"/>
      <x:c r="H427" s="24" t="str">
        <x:f>IF(E427="","",IFERROR(VLOOKUP(E427,Products!$A$6:$D$110,4,FALSE),""))</x:f>
      </x:c>
      <x:c r="I427" s="25"/>
      <x:c r="J427" s="24" t="str">
        <x:f>IF(OR(G427="",I427=""),"",G427*I427)</x:f>
      </x:c>
      <x:c r="K427" s="20"/>
      <x:c r="L427" s="20"/>
    </x:row>
    <x:row r="428" ht="22" customHeight="1">
      <x:c r="A428" s="20"/>
      <x:c r="B428" s="22"/>
      <x:c r="C428" s="20"/>
      <x:c r="D428" t="str">
        <x:f>IF(C428="","",IFERROR(VLOOKUP(C428,Customers!$A$6:$B$155,2,FALSE),"INVALID CUSTOMER ID"))</x:f>
      </x:c>
      <x:c r="E428" s="20"/>
      <x:c r="F428" t="str">
        <x:f>IF(E428="","",IFERROR(VLOOKUP(E428,Products!$A$6:$B$110,2,FALSE),"INVALID SKU"))</x:f>
      </x:c>
      <x:c r="G428" s="20"/>
      <x:c r="H428" s="24" t="str">
        <x:f>IF(E428="","",IFERROR(VLOOKUP(E428,Products!$A$6:$D$110,4,FALSE),""))</x:f>
      </x:c>
      <x:c r="I428" s="25"/>
      <x:c r="J428" s="24" t="str">
        <x:f>IF(OR(G428="",I428=""),"",G428*I428)</x:f>
      </x:c>
      <x:c r="K428" s="20"/>
      <x:c r="L428" s="20"/>
    </x:row>
    <x:row r="429" ht="22" customHeight="1">
      <x:c r="A429" s="20"/>
      <x:c r="B429" s="22"/>
      <x:c r="C429" s="20"/>
      <x:c r="D429" t="str">
        <x:f>IF(C429="","",IFERROR(VLOOKUP(C429,Customers!$A$6:$B$155,2,FALSE),"INVALID CUSTOMER ID"))</x:f>
      </x:c>
      <x:c r="E429" s="20"/>
      <x:c r="F429" t="str">
        <x:f>IF(E429="","",IFERROR(VLOOKUP(E429,Products!$A$6:$B$110,2,FALSE),"INVALID SKU"))</x:f>
      </x:c>
      <x:c r="G429" s="20"/>
      <x:c r="H429" s="24" t="str">
        <x:f>IF(E429="","",IFERROR(VLOOKUP(E429,Products!$A$6:$D$110,4,FALSE),""))</x:f>
      </x:c>
      <x:c r="I429" s="25"/>
      <x:c r="J429" s="24" t="str">
        <x:f>IF(OR(G429="",I429=""),"",G429*I429)</x:f>
      </x:c>
      <x:c r="K429" s="20"/>
      <x:c r="L429" s="20"/>
    </x:row>
    <x:row r="430" ht="22" customHeight="1">
      <x:c r="A430" s="20"/>
      <x:c r="B430" s="22"/>
      <x:c r="C430" s="20"/>
      <x:c r="D430" t="str">
        <x:f>IF(C430="","",IFERROR(VLOOKUP(C430,Customers!$A$6:$B$155,2,FALSE),"INVALID CUSTOMER ID"))</x:f>
      </x:c>
      <x:c r="E430" s="20"/>
      <x:c r="F430" t="str">
        <x:f>IF(E430="","",IFERROR(VLOOKUP(E430,Products!$A$6:$B$110,2,FALSE),"INVALID SKU"))</x:f>
      </x:c>
      <x:c r="G430" s="20"/>
      <x:c r="H430" s="24" t="str">
        <x:f>IF(E430="","",IFERROR(VLOOKUP(E430,Products!$A$6:$D$110,4,FALSE),""))</x:f>
      </x:c>
      <x:c r="I430" s="25"/>
      <x:c r="J430" s="24" t="str">
        <x:f>IF(OR(G430="",I430=""),"",G430*I430)</x:f>
      </x:c>
      <x:c r="K430" s="20"/>
      <x:c r="L430" s="20"/>
    </x:row>
    <x:row r="431" ht="22" customHeight="1">
      <x:c r="A431" s="20"/>
      <x:c r="B431" s="22"/>
      <x:c r="C431" s="20"/>
      <x:c r="D431" t="str">
        <x:f>IF(C431="","",IFERROR(VLOOKUP(C431,Customers!$A$6:$B$155,2,FALSE),"INVALID CUSTOMER ID"))</x:f>
      </x:c>
      <x:c r="E431" s="20"/>
      <x:c r="F431" t="str">
        <x:f>IF(E431="","",IFERROR(VLOOKUP(E431,Products!$A$6:$B$110,2,FALSE),"INVALID SKU"))</x:f>
      </x:c>
      <x:c r="G431" s="20"/>
      <x:c r="H431" s="24" t="str">
        <x:f>IF(E431="","",IFERROR(VLOOKUP(E431,Products!$A$6:$D$110,4,FALSE),""))</x:f>
      </x:c>
      <x:c r="I431" s="25"/>
      <x:c r="J431" s="24" t="str">
        <x:f>IF(OR(G431="",I431=""),"",G431*I431)</x:f>
      </x:c>
      <x:c r="K431" s="20"/>
      <x:c r="L431" s="20"/>
    </x:row>
    <x:row r="432" ht="22" customHeight="1">
      <x:c r="A432" s="20"/>
      <x:c r="B432" s="22"/>
      <x:c r="C432" s="20"/>
      <x:c r="D432" t="str">
        <x:f>IF(C432="","",IFERROR(VLOOKUP(C432,Customers!$A$6:$B$155,2,FALSE),"INVALID CUSTOMER ID"))</x:f>
      </x:c>
      <x:c r="E432" s="20"/>
      <x:c r="F432" t="str">
        <x:f>IF(E432="","",IFERROR(VLOOKUP(E432,Products!$A$6:$B$110,2,FALSE),"INVALID SKU"))</x:f>
      </x:c>
      <x:c r="G432" s="20"/>
      <x:c r="H432" s="24" t="str">
        <x:f>IF(E432="","",IFERROR(VLOOKUP(E432,Products!$A$6:$D$110,4,FALSE),""))</x:f>
      </x:c>
      <x:c r="I432" s="25"/>
      <x:c r="J432" s="24" t="str">
        <x:f>IF(OR(G432="",I432=""),"",G432*I432)</x:f>
      </x:c>
      <x:c r="K432" s="20"/>
      <x:c r="L432" s="20"/>
    </x:row>
    <x:row r="433" ht="22" customHeight="1">
      <x:c r="A433" s="20"/>
      <x:c r="B433" s="22"/>
      <x:c r="C433" s="20"/>
      <x:c r="D433" t="str">
        <x:f>IF(C433="","",IFERROR(VLOOKUP(C433,Customers!$A$6:$B$155,2,FALSE),"INVALID CUSTOMER ID"))</x:f>
      </x:c>
      <x:c r="E433" s="20"/>
      <x:c r="F433" t="str">
        <x:f>IF(E433="","",IFERROR(VLOOKUP(E433,Products!$A$6:$B$110,2,FALSE),"INVALID SKU"))</x:f>
      </x:c>
      <x:c r="G433" s="20"/>
      <x:c r="H433" s="24" t="str">
        <x:f>IF(E433="","",IFERROR(VLOOKUP(E433,Products!$A$6:$D$110,4,FALSE),""))</x:f>
      </x:c>
      <x:c r="I433" s="25"/>
      <x:c r="J433" s="24" t="str">
        <x:f>IF(OR(G433="",I433=""),"",G433*I433)</x:f>
      </x:c>
      <x:c r="K433" s="20"/>
      <x:c r="L433" s="20"/>
    </x:row>
    <x:row r="434" ht="22" customHeight="1">
      <x:c r="A434" s="20"/>
      <x:c r="B434" s="22"/>
      <x:c r="C434" s="20"/>
      <x:c r="D434" t="str">
        <x:f>IF(C434="","",IFERROR(VLOOKUP(C434,Customers!$A$6:$B$155,2,FALSE),"INVALID CUSTOMER ID"))</x:f>
      </x:c>
      <x:c r="E434" s="20"/>
      <x:c r="F434" t="str">
        <x:f>IF(E434="","",IFERROR(VLOOKUP(E434,Products!$A$6:$B$110,2,FALSE),"INVALID SKU"))</x:f>
      </x:c>
      <x:c r="G434" s="20"/>
      <x:c r="H434" s="24" t="str">
        <x:f>IF(E434="","",IFERROR(VLOOKUP(E434,Products!$A$6:$D$110,4,FALSE),""))</x:f>
      </x:c>
      <x:c r="I434" s="25"/>
      <x:c r="J434" s="24" t="str">
        <x:f>IF(OR(G434="",I434=""),"",G434*I434)</x:f>
      </x:c>
      <x:c r="K434" s="20"/>
      <x:c r="L434" s="20"/>
    </x:row>
    <x:row r="435" ht="22" customHeight="1">
      <x:c r="A435" s="20"/>
      <x:c r="B435" s="22"/>
      <x:c r="C435" s="20"/>
      <x:c r="D435" t="str">
        <x:f>IF(C435="","",IFERROR(VLOOKUP(C435,Customers!$A$6:$B$155,2,FALSE),"INVALID CUSTOMER ID"))</x:f>
      </x:c>
      <x:c r="E435" s="20"/>
      <x:c r="F435" t="str">
        <x:f>IF(E435="","",IFERROR(VLOOKUP(E435,Products!$A$6:$B$110,2,FALSE),"INVALID SKU"))</x:f>
      </x:c>
      <x:c r="G435" s="20"/>
      <x:c r="H435" s="24" t="str">
        <x:f>IF(E435="","",IFERROR(VLOOKUP(E435,Products!$A$6:$D$110,4,FALSE),""))</x:f>
      </x:c>
      <x:c r="I435" s="25"/>
      <x:c r="J435" s="24" t="str">
        <x:f>IF(OR(G435="",I435=""),"",G435*I435)</x:f>
      </x:c>
      <x:c r="K435" s="20"/>
      <x:c r="L435" s="20"/>
    </x:row>
    <x:row r="436" ht="22" customHeight="1">
      <x:c r="A436" s="20"/>
      <x:c r="B436" s="22"/>
      <x:c r="C436" s="20"/>
      <x:c r="D436" t="str">
        <x:f>IF(C436="","",IFERROR(VLOOKUP(C436,Customers!$A$6:$B$155,2,FALSE),"INVALID CUSTOMER ID"))</x:f>
      </x:c>
      <x:c r="E436" s="20"/>
      <x:c r="F436" t="str">
        <x:f>IF(E436="","",IFERROR(VLOOKUP(E436,Products!$A$6:$B$110,2,FALSE),"INVALID SKU"))</x:f>
      </x:c>
      <x:c r="G436" s="20"/>
      <x:c r="H436" s="24" t="str">
        <x:f>IF(E436="","",IFERROR(VLOOKUP(E436,Products!$A$6:$D$110,4,FALSE),""))</x:f>
      </x:c>
      <x:c r="I436" s="25"/>
      <x:c r="J436" s="24" t="str">
        <x:f>IF(OR(G436="",I436=""),"",G436*I436)</x:f>
      </x:c>
      <x:c r="K436" s="20"/>
      <x:c r="L436" s="20"/>
    </x:row>
    <x:row r="437" ht="22" customHeight="1">
      <x:c r="A437" s="20"/>
      <x:c r="B437" s="22"/>
      <x:c r="C437" s="20"/>
      <x:c r="D437" t="str">
        <x:f>IF(C437="","",IFERROR(VLOOKUP(C437,Customers!$A$6:$B$155,2,FALSE),"INVALID CUSTOMER ID"))</x:f>
      </x:c>
      <x:c r="E437" s="20"/>
      <x:c r="F437" t="str">
        <x:f>IF(E437="","",IFERROR(VLOOKUP(E437,Products!$A$6:$B$110,2,FALSE),"INVALID SKU"))</x:f>
      </x:c>
      <x:c r="G437" s="20"/>
      <x:c r="H437" s="24" t="str">
        <x:f>IF(E437="","",IFERROR(VLOOKUP(E437,Products!$A$6:$D$110,4,FALSE),""))</x:f>
      </x:c>
      <x:c r="I437" s="25"/>
      <x:c r="J437" s="24" t="str">
        <x:f>IF(OR(G437="",I437=""),"",G437*I437)</x:f>
      </x:c>
      <x:c r="K437" s="20"/>
      <x:c r="L437" s="20"/>
    </x:row>
    <x:row r="438" ht="22" customHeight="1">
      <x:c r="A438" s="20"/>
      <x:c r="B438" s="22"/>
      <x:c r="C438" s="20"/>
      <x:c r="D438" t="str">
        <x:f>IF(C438="","",IFERROR(VLOOKUP(C438,Customers!$A$6:$B$155,2,FALSE),"INVALID CUSTOMER ID"))</x:f>
      </x:c>
      <x:c r="E438" s="20"/>
      <x:c r="F438" t="str">
        <x:f>IF(E438="","",IFERROR(VLOOKUP(E438,Products!$A$6:$B$110,2,FALSE),"INVALID SKU"))</x:f>
      </x:c>
      <x:c r="G438" s="20"/>
      <x:c r="H438" s="24" t="str">
        <x:f>IF(E438="","",IFERROR(VLOOKUP(E438,Products!$A$6:$D$110,4,FALSE),""))</x:f>
      </x:c>
      <x:c r="I438" s="25"/>
      <x:c r="J438" s="24" t="str">
        <x:f>IF(OR(G438="",I438=""),"",G438*I438)</x:f>
      </x:c>
      <x:c r="K438" s="20"/>
      <x:c r="L438" s="20"/>
    </x:row>
    <x:row r="439" ht="22" customHeight="1">
      <x:c r="A439" s="20"/>
      <x:c r="B439" s="22"/>
      <x:c r="C439" s="20"/>
      <x:c r="D439" t="str">
        <x:f>IF(C439="","",IFERROR(VLOOKUP(C439,Customers!$A$6:$B$155,2,FALSE),"INVALID CUSTOMER ID"))</x:f>
      </x:c>
      <x:c r="E439" s="20"/>
      <x:c r="F439" t="str">
        <x:f>IF(E439="","",IFERROR(VLOOKUP(E439,Products!$A$6:$B$110,2,FALSE),"INVALID SKU"))</x:f>
      </x:c>
      <x:c r="G439" s="20"/>
      <x:c r="H439" s="24" t="str">
        <x:f>IF(E439="","",IFERROR(VLOOKUP(E439,Products!$A$6:$D$110,4,FALSE),""))</x:f>
      </x:c>
      <x:c r="I439" s="25"/>
      <x:c r="J439" s="24" t="str">
        <x:f>IF(OR(G439="",I439=""),"",G439*I439)</x:f>
      </x:c>
      <x:c r="K439" s="20"/>
      <x:c r="L439" s="20"/>
    </x:row>
    <x:row r="440" ht="22" customHeight="1">
      <x:c r="A440" s="20"/>
      <x:c r="B440" s="22"/>
      <x:c r="C440" s="20"/>
      <x:c r="D440" t="str">
        <x:f>IF(C440="","",IFERROR(VLOOKUP(C440,Customers!$A$6:$B$155,2,FALSE),"INVALID CUSTOMER ID"))</x:f>
      </x:c>
      <x:c r="E440" s="20"/>
      <x:c r="F440" t="str">
        <x:f>IF(E440="","",IFERROR(VLOOKUP(E440,Products!$A$6:$B$110,2,FALSE),"INVALID SKU"))</x:f>
      </x:c>
      <x:c r="G440" s="20"/>
      <x:c r="H440" s="24" t="str">
        <x:f>IF(E440="","",IFERROR(VLOOKUP(E440,Products!$A$6:$D$110,4,FALSE),""))</x:f>
      </x:c>
      <x:c r="I440" s="25"/>
      <x:c r="J440" s="24" t="str">
        <x:f>IF(OR(G440="",I440=""),"",G440*I440)</x:f>
      </x:c>
      <x:c r="K440" s="20"/>
      <x:c r="L440" s="20"/>
    </x:row>
    <x:row r="441" ht="22" customHeight="1">
      <x:c r="A441" s="20"/>
      <x:c r="B441" s="22"/>
      <x:c r="C441" s="20"/>
      <x:c r="D441" t="str">
        <x:f>IF(C441="","",IFERROR(VLOOKUP(C441,Customers!$A$6:$B$155,2,FALSE),"INVALID CUSTOMER ID"))</x:f>
      </x:c>
      <x:c r="E441" s="20"/>
      <x:c r="F441" t="str">
        <x:f>IF(E441="","",IFERROR(VLOOKUP(E441,Products!$A$6:$B$110,2,FALSE),"INVALID SKU"))</x:f>
      </x:c>
      <x:c r="G441" s="20"/>
      <x:c r="H441" s="24" t="str">
        <x:f>IF(E441="","",IFERROR(VLOOKUP(E441,Products!$A$6:$D$110,4,FALSE),""))</x:f>
      </x:c>
      <x:c r="I441" s="25"/>
      <x:c r="J441" s="24" t="str">
        <x:f>IF(OR(G441="",I441=""),"",G441*I441)</x:f>
      </x:c>
      <x:c r="K441" s="20"/>
      <x:c r="L441" s="20"/>
    </x:row>
    <x:row r="442" ht="22" customHeight="1">
      <x:c r="A442" s="20"/>
      <x:c r="B442" s="22"/>
      <x:c r="C442" s="20"/>
      <x:c r="D442" t="str">
        <x:f>IF(C442="","",IFERROR(VLOOKUP(C442,Customers!$A$6:$B$155,2,FALSE),"INVALID CUSTOMER ID"))</x:f>
      </x:c>
      <x:c r="E442" s="20"/>
      <x:c r="F442" t="str">
        <x:f>IF(E442="","",IFERROR(VLOOKUP(E442,Products!$A$6:$B$110,2,FALSE),"INVALID SKU"))</x:f>
      </x:c>
      <x:c r="G442" s="20"/>
      <x:c r="H442" s="24" t="str">
        <x:f>IF(E442="","",IFERROR(VLOOKUP(E442,Products!$A$6:$D$110,4,FALSE),""))</x:f>
      </x:c>
      <x:c r="I442" s="25"/>
      <x:c r="J442" s="24" t="str">
        <x:f>IF(OR(G442="",I442=""),"",G442*I442)</x:f>
      </x:c>
      <x:c r="K442" s="20"/>
      <x:c r="L442" s="20"/>
    </x:row>
    <x:row r="443" ht="22" customHeight="1">
      <x:c r="A443" s="20"/>
      <x:c r="B443" s="22"/>
      <x:c r="C443" s="20"/>
      <x:c r="D443" t="str">
        <x:f>IF(C443="","",IFERROR(VLOOKUP(C443,Customers!$A$6:$B$155,2,FALSE),"INVALID CUSTOMER ID"))</x:f>
      </x:c>
      <x:c r="E443" s="20"/>
      <x:c r="F443" t="str">
        <x:f>IF(E443="","",IFERROR(VLOOKUP(E443,Products!$A$6:$B$110,2,FALSE),"INVALID SKU"))</x:f>
      </x:c>
      <x:c r="G443" s="20"/>
      <x:c r="H443" s="24" t="str">
        <x:f>IF(E443="","",IFERROR(VLOOKUP(E443,Products!$A$6:$D$110,4,FALSE),""))</x:f>
      </x:c>
      <x:c r="I443" s="25"/>
      <x:c r="J443" s="24" t="str">
        <x:f>IF(OR(G443="",I443=""),"",G443*I443)</x:f>
      </x:c>
      <x:c r="K443" s="20"/>
      <x:c r="L443" s="20"/>
    </x:row>
    <x:row r="444" ht="22" customHeight="1">
      <x:c r="A444" s="20"/>
      <x:c r="B444" s="22"/>
      <x:c r="C444" s="20"/>
      <x:c r="D444" t="str">
        <x:f>IF(C444="","",IFERROR(VLOOKUP(C444,Customers!$A$6:$B$155,2,FALSE),"INVALID CUSTOMER ID"))</x:f>
      </x:c>
      <x:c r="E444" s="20"/>
      <x:c r="F444" t="str">
        <x:f>IF(E444="","",IFERROR(VLOOKUP(E444,Products!$A$6:$B$110,2,FALSE),"INVALID SKU"))</x:f>
      </x:c>
      <x:c r="G444" s="20"/>
      <x:c r="H444" s="24" t="str">
        <x:f>IF(E444="","",IFERROR(VLOOKUP(E444,Products!$A$6:$D$110,4,FALSE),""))</x:f>
      </x:c>
      <x:c r="I444" s="25"/>
      <x:c r="J444" s="24" t="str">
        <x:f>IF(OR(G444="",I444=""),"",G444*I444)</x:f>
      </x:c>
      <x:c r="K444" s="20"/>
      <x:c r="L444" s="20"/>
    </x:row>
    <x:row r="445" ht="22" customHeight="1">
      <x:c r="A445" s="20"/>
      <x:c r="B445" s="22"/>
      <x:c r="C445" s="20"/>
      <x:c r="D445" t="str">
        <x:f>IF(C445="","",IFERROR(VLOOKUP(C445,Customers!$A$6:$B$155,2,FALSE),"INVALID CUSTOMER ID"))</x:f>
      </x:c>
      <x:c r="E445" s="20"/>
      <x:c r="F445" t="str">
        <x:f>IF(E445="","",IFERROR(VLOOKUP(E445,Products!$A$6:$B$110,2,FALSE),"INVALID SKU"))</x:f>
      </x:c>
      <x:c r="G445" s="20"/>
      <x:c r="H445" s="24" t="str">
        <x:f>IF(E445="","",IFERROR(VLOOKUP(E445,Products!$A$6:$D$110,4,FALSE),""))</x:f>
      </x:c>
      <x:c r="I445" s="25"/>
      <x:c r="J445" s="24" t="str">
        <x:f>IF(OR(G445="",I445=""),"",G445*I445)</x:f>
      </x:c>
      <x:c r="K445" s="20"/>
      <x:c r="L445" s="20"/>
    </x:row>
    <x:row r="446" ht="22" customHeight="1">
      <x:c r="A446" s="20"/>
      <x:c r="B446" s="22"/>
      <x:c r="C446" s="20"/>
      <x:c r="D446" t="str">
        <x:f>IF(C446="","",IFERROR(VLOOKUP(C446,Customers!$A$6:$B$155,2,FALSE),"INVALID CUSTOMER ID"))</x:f>
      </x:c>
      <x:c r="E446" s="20"/>
      <x:c r="F446" t="str">
        <x:f>IF(E446="","",IFERROR(VLOOKUP(E446,Products!$A$6:$B$110,2,FALSE),"INVALID SKU"))</x:f>
      </x:c>
      <x:c r="G446" s="20"/>
      <x:c r="H446" s="24" t="str">
        <x:f>IF(E446="","",IFERROR(VLOOKUP(E446,Products!$A$6:$D$110,4,FALSE),""))</x:f>
      </x:c>
      <x:c r="I446" s="25"/>
      <x:c r="J446" s="24" t="str">
        <x:f>IF(OR(G446="",I446=""),"",G446*I446)</x:f>
      </x:c>
      <x:c r="K446" s="20"/>
      <x:c r="L446" s="20"/>
    </x:row>
    <x:row r="447" ht="22" customHeight="1">
      <x:c r="A447" s="20"/>
      <x:c r="B447" s="22"/>
      <x:c r="C447" s="20"/>
      <x:c r="D447" t="str">
        <x:f>IF(C447="","",IFERROR(VLOOKUP(C447,Customers!$A$6:$B$155,2,FALSE),"INVALID CUSTOMER ID"))</x:f>
      </x:c>
      <x:c r="E447" s="20"/>
      <x:c r="F447" t="str">
        <x:f>IF(E447="","",IFERROR(VLOOKUP(E447,Products!$A$6:$B$110,2,FALSE),"INVALID SKU"))</x:f>
      </x:c>
      <x:c r="G447" s="20"/>
      <x:c r="H447" s="24" t="str">
        <x:f>IF(E447="","",IFERROR(VLOOKUP(E447,Products!$A$6:$D$110,4,FALSE),""))</x:f>
      </x:c>
      <x:c r="I447" s="25"/>
      <x:c r="J447" s="24" t="str">
        <x:f>IF(OR(G447="",I447=""),"",G447*I447)</x:f>
      </x:c>
      <x:c r="K447" s="20"/>
      <x:c r="L447" s="20"/>
    </x:row>
    <x:row r="448" ht="22" customHeight="1">
      <x:c r="A448" s="20"/>
      <x:c r="B448" s="22"/>
      <x:c r="C448" s="20"/>
      <x:c r="D448" t="str">
        <x:f>IF(C448="","",IFERROR(VLOOKUP(C448,Customers!$A$6:$B$155,2,FALSE),"INVALID CUSTOMER ID"))</x:f>
      </x:c>
      <x:c r="E448" s="20"/>
      <x:c r="F448" t="str">
        <x:f>IF(E448="","",IFERROR(VLOOKUP(E448,Products!$A$6:$B$110,2,FALSE),"INVALID SKU"))</x:f>
      </x:c>
      <x:c r="G448" s="20"/>
      <x:c r="H448" s="24" t="str">
        <x:f>IF(E448="","",IFERROR(VLOOKUP(E448,Products!$A$6:$D$110,4,FALSE),""))</x:f>
      </x:c>
      <x:c r="I448" s="25"/>
      <x:c r="J448" s="24" t="str">
        <x:f>IF(OR(G448="",I448=""),"",G448*I448)</x:f>
      </x:c>
      <x:c r="K448" s="20"/>
      <x:c r="L448" s="20"/>
    </x:row>
    <x:row r="449" ht="22" customHeight="1">
      <x:c r="A449" s="20"/>
      <x:c r="B449" s="22"/>
      <x:c r="C449" s="20"/>
      <x:c r="D449" t="str">
        <x:f>IF(C449="","",IFERROR(VLOOKUP(C449,Customers!$A$6:$B$155,2,FALSE),"INVALID CUSTOMER ID"))</x:f>
      </x:c>
      <x:c r="E449" s="20"/>
      <x:c r="F449" t="str">
        <x:f>IF(E449="","",IFERROR(VLOOKUP(E449,Products!$A$6:$B$110,2,FALSE),"INVALID SKU"))</x:f>
      </x:c>
      <x:c r="G449" s="20"/>
      <x:c r="H449" s="24" t="str">
        <x:f>IF(E449="","",IFERROR(VLOOKUP(E449,Products!$A$6:$D$110,4,FALSE),""))</x:f>
      </x:c>
      <x:c r="I449" s="25"/>
      <x:c r="J449" s="24" t="str">
        <x:f>IF(OR(G449="",I449=""),"",G449*I449)</x:f>
      </x:c>
      <x:c r="K449" s="20"/>
      <x:c r="L449" s="20"/>
    </x:row>
    <x:row r="450" ht="22" customHeight="1">
      <x:c r="A450" s="20"/>
      <x:c r="B450" s="22"/>
      <x:c r="C450" s="20"/>
      <x:c r="D450" t="str">
        <x:f>IF(C450="","",IFERROR(VLOOKUP(C450,Customers!$A$6:$B$155,2,FALSE),"INVALID CUSTOMER ID"))</x:f>
      </x:c>
      <x:c r="E450" s="20"/>
      <x:c r="F450" t="str">
        <x:f>IF(E450="","",IFERROR(VLOOKUP(E450,Products!$A$6:$B$110,2,FALSE),"INVALID SKU"))</x:f>
      </x:c>
      <x:c r="G450" s="20"/>
      <x:c r="H450" s="24" t="str">
        <x:f>IF(E450="","",IFERROR(VLOOKUP(E450,Products!$A$6:$D$110,4,FALSE),""))</x:f>
      </x:c>
      <x:c r="I450" s="25"/>
      <x:c r="J450" s="24" t="str">
        <x:f>IF(OR(G450="",I450=""),"",G450*I450)</x:f>
      </x:c>
      <x:c r="K450" s="20"/>
      <x:c r="L450" s="20"/>
    </x:row>
    <x:row r="451" ht="22" customHeight="1">
      <x:c r="A451" s="20"/>
      <x:c r="B451" s="22"/>
      <x:c r="C451" s="20"/>
      <x:c r="D451" t="str">
        <x:f>IF(C451="","",IFERROR(VLOOKUP(C451,Customers!$A$6:$B$155,2,FALSE),"INVALID CUSTOMER ID"))</x:f>
      </x:c>
      <x:c r="E451" s="20"/>
      <x:c r="F451" t="str">
        <x:f>IF(E451="","",IFERROR(VLOOKUP(E451,Products!$A$6:$B$110,2,FALSE),"INVALID SKU"))</x:f>
      </x:c>
      <x:c r="G451" s="20"/>
      <x:c r="H451" s="24" t="str">
        <x:f>IF(E451="","",IFERROR(VLOOKUP(E451,Products!$A$6:$D$110,4,FALSE),""))</x:f>
      </x:c>
      <x:c r="I451" s="25"/>
      <x:c r="J451" s="24" t="str">
        <x:f>IF(OR(G451="",I451=""),"",G451*I451)</x:f>
      </x:c>
      <x:c r="K451" s="20"/>
      <x:c r="L451" s="20"/>
    </x:row>
    <x:row r="452" ht="22" customHeight="1">
      <x:c r="A452" s="20"/>
      <x:c r="B452" s="22"/>
      <x:c r="C452" s="20"/>
      <x:c r="D452" t="str">
        <x:f>IF(C452="","",IFERROR(VLOOKUP(C452,Customers!$A$6:$B$155,2,FALSE),"INVALID CUSTOMER ID"))</x:f>
      </x:c>
      <x:c r="E452" s="20"/>
      <x:c r="F452" t="str">
        <x:f>IF(E452="","",IFERROR(VLOOKUP(E452,Products!$A$6:$B$110,2,FALSE),"INVALID SKU"))</x:f>
      </x:c>
      <x:c r="G452" s="20"/>
      <x:c r="H452" s="24" t="str">
        <x:f>IF(E452="","",IFERROR(VLOOKUP(E452,Products!$A$6:$D$110,4,FALSE),""))</x:f>
      </x:c>
      <x:c r="I452" s="25"/>
      <x:c r="J452" s="24" t="str">
        <x:f>IF(OR(G452="",I452=""),"",G452*I452)</x:f>
      </x:c>
      <x:c r="K452" s="20"/>
      <x:c r="L452" s="20"/>
    </x:row>
    <x:row r="453" ht="22" customHeight="1">
      <x:c r="A453" s="20"/>
      <x:c r="B453" s="22"/>
      <x:c r="C453" s="20"/>
      <x:c r="D453" t="str">
        <x:f>IF(C453="","",IFERROR(VLOOKUP(C453,Customers!$A$6:$B$155,2,FALSE),"INVALID CUSTOMER ID"))</x:f>
      </x:c>
      <x:c r="E453" s="20"/>
      <x:c r="F453" t="str">
        <x:f>IF(E453="","",IFERROR(VLOOKUP(E453,Products!$A$6:$B$110,2,FALSE),"INVALID SKU"))</x:f>
      </x:c>
      <x:c r="G453" s="20"/>
      <x:c r="H453" s="24" t="str">
        <x:f>IF(E453="","",IFERROR(VLOOKUP(E453,Products!$A$6:$D$110,4,FALSE),""))</x:f>
      </x:c>
      <x:c r="I453" s="25"/>
      <x:c r="J453" s="24" t="str">
        <x:f>IF(OR(G453="",I453=""),"",G453*I453)</x:f>
      </x:c>
      <x:c r="K453" s="20"/>
      <x:c r="L453" s="20"/>
    </x:row>
    <x:row r="454" ht="22" customHeight="1">
      <x:c r="A454" s="20"/>
      <x:c r="B454" s="22"/>
      <x:c r="C454" s="20"/>
      <x:c r="D454" t="str">
        <x:f>IF(C454="","",IFERROR(VLOOKUP(C454,Customers!$A$6:$B$155,2,FALSE),"INVALID CUSTOMER ID"))</x:f>
      </x:c>
      <x:c r="E454" s="20"/>
      <x:c r="F454" t="str">
        <x:f>IF(E454="","",IFERROR(VLOOKUP(E454,Products!$A$6:$B$110,2,FALSE),"INVALID SKU"))</x:f>
      </x:c>
      <x:c r="G454" s="20"/>
      <x:c r="H454" s="24" t="str">
        <x:f>IF(E454="","",IFERROR(VLOOKUP(E454,Products!$A$6:$D$110,4,FALSE),""))</x:f>
      </x:c>
      <x:c r="I454" s="25"/>
      <x:c r="J454" s="24" t="str">
        <x:f>IF(OR(G454="",I454=""),"",G454*I454)</x:f>
      </x:c>
      <x:c r="K454" s="20"/>
      <x:c r="L454" s="20"/>
    </x:row>
    <x:row r="455" ht="22" customHeight="1">
      <x:c r="A455" s="20"/>
      <x:c r="B455" s="22"/>
      <x:c r="C455" s="20"/>
      <x:c r="D455" t="str">
        <x:f>IF(C455="","",IFERROR(VLOOKUP(C455,Customers!$A$6:$B$155,2,FALSE),"INVALID CUSTOMER ID"))</x:f>
      </x:c>
      <x:c r="E455" s="20"/>
      <x:c r="F455" t="str">
        <x:f>IF(E455="","",IFERROR(VLOOKUP(E455,Products!$A$6:$B$110,2,FALSE),"INVALID SKU"))</x:f>
      </x:c>
      <x:c r="G455" s="20"/>
      <x:c r="H455" s="24" t="str">
        <x:f>IF(E455="","",IFERROR(VLOOKUP(E455,Products!$A$6:$D$110,4,FALSE),""))</x:f>
      </x:c>
      <x:c r="I455" s="25"/>
      <x:c r="J455" s="24" t="str">
        <x:f>IF(OR(G455="",I455=""),"",G455*I455)</x:f>
      </x:c>
      <x:c r="K455" s="20"/>
      <x:c r="L455" s="20"/>
    </x:row>
    <x:row r="456" ht="22" customHeight="1">
      <x:c r="A456" s="20"/>
      <x:c r="B456" s="22"/>
      <x:c r="C456" s="20"/>
      <x:c r="D456" t="str">
        <x:f>IF(C456="","",IFERROR(VLOOKUP(C456,Customers!$A$6:$B$155,2,FALSE),"INVALID CUSTOMER ID"))</x:f>
      </x:c>
      <x:c r="E456" s="20"/>
      <x:c r="F456" t="str">
        <x:f>IF(E456="","",IFERROR(VLOOKUP(E456,Products!$A$6:$B$110,2,FALSE),"INVALID SKU"))</x:f>
      </x:c>
      <x:c r="G456" s="20"/>
      <x:c r="H456" s="24" t="str">
        <x:f>IF(E456="","",IFERROR(VLOOKUP(E456,Products!$A$6:$D$110,4,FALSE),""))</x:f>
      </x:c>
      <x:c r="I456" s="25"/>
      <x:c r="J456" s="24" t="str">
        <x:f>IF(OR(G456="",I456=""),"",G456*I456)</x:f>
      </x:c>
      <x:c r="K456" s="20"/>
      <x:c r="L456" s="20"/>
    </x:row>
    <x:row r="457" ht="22" customHeight="1">
      <x:c r="A457" s="20"/>
      <x:c r="B457" s="22"/>
      <x:c r="C457" s="20"/>
      <x:c r="D457" t="str">
        <x:f>IF(C457="","",IFERROR(VLOOKUP(C457,Customers!$A$6:$B$155,2,FALSE),"INVALID CUSTOMER ID"))</x:f>
      </x:c>
      <x:c r="E457" s="20"/>
      <x:c r="F457" t="str">
        <x:f>IF(E457="","",IFERROR(VLOOKUP(E457,Products!$A$6:$B$110,2,FALSE),"INVALID SKU"))</x:f>
      </x:c>
      <x:c r="G457" s="20"/>
      <x:c r="H457" s="24" t="str">
        <x:f>IF(E457="","",IFERROR(VLOOKUP(E457,Products!$A$6:$D$110,4,FALSE),""))</x:f>
      </x:c>
      <x:c r="I457" s="25"/>
      <x:c r="J457" s="24" t="str">
        <x:f>IF(OR(G457="",I457=""),"",G457*I457)</x:f>
      </x:c>
      <x:c r="K457" s="20"/>
      <x:c r="L457" s="20"/>
    </x:row>
    <x:row r="458" ht="22" customHeight="1">
      <x:c r="A458" s="20"/>
      <x:c r="B458" s="22"/>
      <x:c r="C458" s="20"/>
      <x:c r="D458" t="str">
        <x:f>IF(C458="","",IFERROR(VLOOKUP(C458,Customers!$A$6:$B$155,2,FALSE),"INVALID CUSTOMER ID"))</x:f>
      </x:c>
      <x:c r="E458" s="20"/>
      <x:c r="F458" t="str">
        <x:f>IF(E458="","",IFERROR(VLOOKUP(E458,Products!$A$6:$B$110,2,FALSE),"INVALID SKU"))</x:f>
      </x:c>
      <x:c r="G458" s="20"/>
      <x:c r="H458" s="24" t="str">
        <x:f>IF(E458="","",IFERROR(VLOOKUP(E458,Products!$A$6:$D$110,4,FALSE),""))</x:f>
      </x:c>
      <x:c r="I458" s="25"/>
      <x:c r="J458" s="24" t="str">
        <x:f>IF(OR(G458="",I458=""),"",G458*I458)</x:f>
      </x:c>
      <x:c r="K458" s="20"/>
      <x:c r="L458" s="20"/>
    </x:row>
    <x:row r="459" ht="22" customHeight="1">
      <x:c r="A459" s="20"/>
      <x:c r="B459" s="22"/>
      <x:c r="C459" s="20"/>
      <x:c r="D459" t="str">
        <x:f>IF(C459="","",IFERROR(VLOOKUP(C459,Customers!$A$6:$B$155,2,FALSE),"INVALID CUSTOMER ID"))</x:f>
      </x:c>
      <x:c r="E459" s="20"/>
      <x:c r="F459" t="str">
        <x:f>IF(E459="","",IFERROR(VLOOKUP(E459,Products!$A$6:$B$110,2,FALSE),"INVALID SKU"))</x:f>
      </x:c>
      <x:c r="G459" s="20"/>
      <x:c r="H459" s="24" t="str">
        <x:f>IF(E459="","",IFERROR(VLOOKUP(E459,Products!$A$6:$D$110,4,FALSE),""))</x:f>
      </x:c>
      <x:c r="I459" s="25"/>
      <x:c r="J459" s="24" t="str">
        <x:f>IF(OR(G459="",I459=""),"",G459*I459)</x:f>
      </x:c>
      <x:c r="K459" s="20"/>
      <x:c r="L459" s="20"/>
    </x:row>
    <x:row r="460" ht="22" customHeight="1">
      <x:c r="A460" s="20"/>
      <x:c r="B460" s="22"/>
      <x:c r="C460" s="20"/>
      <x:c r="D460" t="str">
        <x:f>IF(C460="","",IFERROR(VLOOKUP(C460,Customers!$A$6:$B$155,2,FALSE),"INVALID CUSTOMER ID"))</x:f>
      </x:c>
      <x:c r="E460" s="20"/>
      <x:c r="F460" t="str">
        <x:f>IF(E460="","",IFERROR(VLOOKUP(E460,Products!$A$6:$B$110,2,FALSE),"INVALID SKU"))</x:f>
      </x:c>
      <x:c r="G460" s="20"/>
      <x:c r="H460" s="24" t="str">
        <x:f>IF(E460="","",IFERROR(VLOOKUP(E460,Products!$A$6:$D$110,4,FALSE),""))</x:f>
      </x:c>
      <x:c r="I460" s="25"/>
      <x:c r="J460" s="24" t="str">
        <x:f>IF(OR(G460="",I460=""),"",G460*I460)</x:f>
      </x:c>
      <x:c r="K460" s="20"/>
      <x:c r="L460" s="20"/>
    </x:row>
    <x:row r="461" ht="22" customHeight="1">
      <x:c r="A461" s="20"/>
      <x:c r="B461" s="22"/>
      <x:c r="C461" s="20"/>
      <x:c r="D461" t="str">
        <x:f>IF(C461="","",IFERROR(VLOOKUP(C461,Customers!$A$6:$B$155,2,FALSE),"INVALID CUSTOMER ID"))</x:f>
      </x:c>
      <x:c r="E461" s="20"/>
      <x:c r="F461" t="str">
        <x:f>IF(E461="","",IFERROR(VLOOKUP(E461,Products!$A$6:$B$110,2,FALSE),"INVALID SKU"))</x:f>
      </x:c>
      <x:c r="G461" s="20"/>
      <x:c r="H461" s="24" t="str">
        <x:f>IF(E461="","",IFERROR(VLOOKUP(E461,Products!$A$6:$D$110,4,FALSE),""))</x:f>
      </x:c>
      <x:c r="I461" s="25"/>
      <x:c r="J461" s="24" t="str">
        <x:f>IF(OR(G461="",I461=""),"",G461*I461)</x:f>
      </x:c>
      <x:c r="K461" s="20"/>
      <x:c r="L461" s="20"/>
    </x:row>
    <x:row r="462" ht="22" customHeight="1">
      <x:c r="A462" s="20"/>
      <x:c r="B462" s="22"/>
      <x:c r="C462" s="20"/>
      <x:c r="D462" t="str">
        <x:f>IF(C462="","",IFERROR(VLOOKUP(C462,Customers!$A$6:$B$155,2,FALSE),"INVALID CUSTOMER ID"))</x:f>
      </x:c>
      <x:c r="E462" s="20"/>
      <x:c r="F462" t="str">
        <x:f>IF(E462="","",IFERROR(VLOOKUP(E462,Products!$A$6:$B$110,2,FALSE),"INVALID SKU"))</x:f>
      </x:c>
      <x:c r="G462" s="20"/>
      <x:c r="H462" s="24" t="str">
        <x:f>IF(E462="","",IFERROR(VLOOKUP(E462,Products!$A$6:$D$110,4,FALSE),""))</x:f>
      </x:c>
      <x:c r="I462" s="25"/>
      <x:c r="J462" s="24" t="str">
        <x:f>IF(OR(G462="",I462=""),"",G462*I462)</x:f>
      </x:c>
      <x:c r="K462" s="20"/>
      <x:c r="L462" s="20"/>
    </x:row>
    <x:row r="463" ht="22" customHeight="1">
      <x:c r="A463" s="20"/>
      <x:c r="B463" s="22"/>
      <x:c r="C463" s="20"/>
      <x:c r="D463" t="str">
        <x:f>IF(C463="","",IFERROR(VLOOKUP(C463,Customers!$A$6:$B$155,2,FALSE),"INVALID CUSTOMER ID"))</x:f>
      </x:c>
      <x:c r="E463" s="20"/>
      <x:c r="F463" t="str">
        <x:f>IF(E463="","",IFERROR(VLOOKUP(E463,Products!$A$6:$B$110,2,FALSE),"INVALID SKU"))</x:f>
      </x:c>
      <x:c r="G463" s="20"/>
      <x:c r="H463" s="24" t="str">
        <x:f>IF(E463="","",IFERROR(VLOOKUP(E463,Products!$A$6:$D$110,4,FALSE),""))</x:f>
      </x:c>
      <x:c r="I463" s="25"/>
      <x:c r="J463" s="24" t="str">
        <x:f>IF(OR(G463="",I463=""),"",G463*I463)</x:f>
      </x:c>
      <x:c r="K463" s="20"/>
      <x:c r="L463" s="20"/>
    </x:row>
    <x:row r="464" ht="22" customHeight="1">
      <x:c r="A464" s="20"/>
      <x:c r="B464" s="22"/>
      <x:c r="C464" s="20"/>
      <x:c r="D464" t="str">
        <x:f>IF(C464="","",IFERROR(VLOOKUP(C464,Customers!$A$6:$B$155,2,FALSE),"INVALID CUSTOMER ID"))</x:f>
      </x:c>
      <x:c r="E464" s="20"/>
      <x:c r="F464" t="str">
        <x:f>IF(E464="","",IFERROR(VLOOKUP(E464,Products!$A$6:$B$110,2,FALSE),"INVALID SKU"))</x:f>
      </x:c>
      <x:c r="G464" s="20"/>
      <x:c r="H464" s="24" t="str">
        <x:f>IF(E464="","",IFERROR(VLOOKUP(E464,Products!$A$6:$D$110,4,FALSE),""))</x:f>
      </x:c>
      <x:c r="I464" s="25"/>
      <x:c r="J464" s="24" t="str">
        <x:f>IF(OR(G464="",I464=""),"",G464*I464)</x:f>
      </x:c>
      <x:c r="K464" s="20"/>
      <x:c r="L464" s="20"/>
    </x:row>
    <x:row r="465" ht="22" customHeight="1">
      <x:c r="A465" s="20"/>
      <x:c r="B465" s="22"/>
      <x:c r="C465" s="20"/>
      <x:c r="D465" t="str">
        <x:f>IF(C465="","",IFERROR(VLOOKUP(C465,Customers!$A$6:$B$155,2,FALSE),"INVALID CUSTOMER ID"))</x:f>
      </x:c>
      <x:c r="E465" s="20"/>
      <x:c r="F465" t="str">
        <x:f>IF(E465="","",IFERROR(VLOOKUP(E465,Products!$A$6:$B$110,2,FALSE),"INVALID SKU"))</x:f>
      </x:c>
      <x:c r="G465" s="20"/>
      <x:c r="H465" s="24" t="str">
        <x:f>IF(E465="","",IFERROR(VLOOKUP(E465,Products!$A$6:$D$110,4,FALSE),""))</x:f>
      </x:c>
      <x:c r="I465" s="25"/>
      <x:c r="J465" s="24" t="str">
        <x:f>IF(OR(G465="",I465=""),"",G465*I465)</x:f>
      </x:c>
      <x:c r="K465" s="20"/>
      <x:c r="L465" s="20"/>
    </x:row>
    <x:row r="466" ht="22" customHeight="1">
      <x:c r="A466" s="20"/>
      <x:c r="B466" s="22"/>
      <x:c r="C466" s="20"/>
      <x:c r="D466" t="str">
        <x:f>IF(C466="","",IFERROR(VLOOKUP(C466,Customers!$A$6:$B$155,2,FALSE),"INVALID CUSTOMER ID"))</x:f>
      </x:c>
      <x:c r="E466" s="20"/>
      <x:c r="F466" t="str">
        <x:f>IF(E466="","",IFERROR(VLOOKUP(E466,Products!$A$6:$B$110,2,FALSE),"INVALID SKU"))</x:f>
      </x:c>
      <x:c r="G466" s="20"/>
      <x:c r="H466" s="24" t="str">
        <x:f>IF(E466="","",IFERROR(VLOOKUP(E466,Products!$A$6:$D$110,4,FALSE),""))</x:f>
      </x:c>
      <x:c r="I466" s="25"/>
      <x:c r="J466" s="24" t="str">
        <x:f>IF(OR(G466="",I466=""),"",G466*I466)</x:f>
      </x:c>
      <x:c r="K466" s="20"/>
      <x:c r="L466" s="20"/>
    </x:row>
    <x:row r="467" ht="22" customHeight="1">
      <x:c r="A467" s="20"/>
      <x:c r="B467" s="22"/>
      <x:c r="C467" s="20"/>
      <x:c r="D467" t="str">
        <x:f>IF(C467="","",IFERROR(VLOOKUP(C467,Customers!$A$6:$B$155,2,FALSE),"INVALID CUSTOMER ID"))</x:f>
      </x:c>
      <x:c r="E467" s="20"/>
      <x:c r="F467" t="str">
        <x:f>IF(E467="","",IFERROR(VLOOKUP(E467,Products!$A$6:$B$110,2,FALSE),"INVALID SKU"))</x:f>
      </x:c>
      <x:c r="G467" s="20"/>
      <x:c r="H467" s="24" t="str">
        <x:f>IF(E467="","",IFERROR(VLOOKUP(E467,Products!$A$6:$D$110,4,FALSE),""))</x:f>
      </x:c>
      <x:c r="I467" s="25"/>
      <x:c r="J467" s="24" t="str">
        <x:f>IF(OR(G467="",I467=""),"",G467*I467)</x:f>
      </x:c>
      <x:c r="K467" s="20"/>
      <x:c r="L467" s="20"/>
    </x:row>
    <x:row r="468" ht="22" customHeight="1">
      <x:c r="A468" s="20"/>
      <x:c r="B468" s="22"/>
      <x:c r="C468" s="20"/>
      <x:c r="D468" t="str">
        <x:f>IF(C468="","",IFERROR(VLOOKUP(C468,Customers!$A$6:$B$155,2,FALSE),"INVALID CUSTOMER ID"))</x:f>
      </x:c>
      <x:c r="E468" s="20"/>
      <x:c r="F468" t="str">
        <x:f>IF(E468="","",IFERROR(VLOOKUP(E468,Products!$A$6:$B$110,2,FALSE),"INVALID SKU"))</x:f>
      </x:c>
      <x:c r="G468" s="20"/>
      <x:c r="H468" s="24" t="str">
        <x:f>IF(E468="","",IFERROR(VLOOKUP(E468,Products!$A$6:$D$110,4,FALSE),""))</x:f>
      </x:c>
      <x:c r="I468" s="25"/>
      <x:c r="J468" s="24" t="str">
        <x:f>IF(OR(G468="",I468=""),"",G468*I468)</x:f>
      </x:c>
      <x:c r="K468" s="20"/>
      <x:c r="L468" s="20"/>
    </x:row>
    <x:row r="469" ht="22" customHeight="1">
      <x:c r="A469" s="20"/>
      <x:c r="B469" s="22"/>
      <x:c r="C469" s="20"/>
      <x:c r="D469" t="str">
        <x:f>IF(C469="","",IFERROR(VLOOKUP(C469,Customers!$A$6:$B$155,2,FALSE),"INVALID CUSTOMER ID"))</x:f>
      </x:c>
      <x:c r="E469" s="20"/>
      <x:c r="F469" t="str">
        <x:f>IF(E469="","",IFERROR(VLOOKUP(E469,Products!$A$6:$B$110,2,FALSE),"INVALID SKU"))</x:f>
      </x:c>
      <x:c r="G469" s="20"/>
      <x:c r="H469" s="24" t="str">
        <x:f>IF(E469="","",IFERROR(VLOOKUP(E469,Products!$A$6:$D$110,4,FALSE),""))</x:f>
      </x:c>
      <x:c r="I469" s="25"/>
      <x:c r="J469" s="24" t="str">
        <x:f>IF(OR(G469="",I469=""),"",G469*I469)</x:f>
      </x:c>
      <x:c r="K469" s="20"/>
      <x:c r="L469" s="20"/>
    </x:row>
    <x:row r="470" ht="22" customHeight="1">
      <x:c r="A470" s="20"/>
      <x:c r="B470" s="22"/>
      <x:c r="C470" s="20"/>
      <x:c r="D470" t="str">
        <x:f>IF(C470="","",IFERROR(VLOOKUP(C470,Customers!$A$6:$B$155,2,FALSE),"INVALID CUSTOMER ID"))</x:f>
      </x:c>
      <x:c r="E470" s="20"/>
      <x:c r="F470" t="str">
        <x:f>IF(E470="","",IFERROR(VLOOKUP(E470,Products!$A$6:$B$110,2,FALSE),"INVALID SKU"))</x:f>
      </x:c>
      <x:c r="G470" s="20"/>
      <x:c r="H470" s="24" t="str">
        <x:f>IF(E470="","",IFERROR(VLOOKUP(E470,Products!$A$6:$D$110,4,FALSE),""))</x:f>
      </x:c>
      <x:c r="I470" s="25"/>
      <x:c r="J470" s="24" t="str">
        <x:f>IF(OR(G470="",I470=""),"",G470*I470)</x:f>
      </x:c>
      <x:c r="K470" s="20"/>
      <x:c r="L470" s="20"/>
    </x:row>
    <x:row r="471" ht="22" customHeight="1">
      <x:c r="A471" s="20"/>
      <x:c r="B471" s="22"/>
      <x:c r="C471" s="20"/>
      <x:c r="D471" t="str">
        <x:f>IF(C471="","",IFERROR(VLOOKUP(C471,Customers!$A$6:$B$155,2,FALSE),"INVALID CUSTOMER ID"))</x:f>
      </x:c>
      <x:c r="E471" s="20"/>
      <x:c r="F471" t="str">
        <x:f>IF(E471="","",IFERROR(VLOOKUP(E471,Products!$A$6:$B$110,2,FALSE),"INVALID SKU"))</x:f>
      </x:c>
      <x:c r="G471" s="20"/>
      <x:c r="H471" s="24" t="str">
        <x:f>IF(E471="","",IFERROR(VLOOKUP(E471,Products!$A$6:$D$110,4,FALSE),""))</x:f>
      </x:c>
      <x:c r="I471" s="25"/>
      <x:c r="J471" s="24" t="str">
        <x:f>IF(OR(G471="",I471=""),"",G471*I471)</x:f>
      </x:c>
      <x:c r="K471" s="20"/>
      <x:c r="L471" s="20"/>
    </x:row>
    <x:row r="472" ht="22" customHeight="1">
      <x:c r="A472" s="20"/>
      <x:c r="B472" s="22"/>
      <x:c r="C472" s="20"/>
      <x:c r="D472" t="str">
        <x:f>IF(C472="","",IFERROR(VLOOKUP(C472,Customers!$A$6:$B$155,2,FALSE),"INVALID CUSTOMER ID"))</x:f>
      </x:c>
      <x:c r="E472" s="20"/>
      <x:c r="F472" t="str">
        <x:f>IF(E472="","",IFERROR(VLOOKUP(E472,Products!$A$6:$B$110,2,FALSE),"INVALID SKU"))</x:f>
      </x:c>
      <x:c r="G472" s="20"/>
      <x:c r="H472" s="24" t="str">
        <x:f>IF(E472="","",IFERROR(VLOOKUP(E472,Products!$A$6:$D$110,4,FALSE),""))</x:f>
      </x:c>
      <x:c r="I472" s="25"/>
      <x:c r="J472" s="24" t="str">
        <x:f>IF(OR(G472="",I472=""),"",G472*I472)</x:f>
      </x:c>
      <x:c r="K472" s="20"/>
      <x:c r="L472" s="20"/>
    </x:row>
    <x:row r="473" ht="22" customHeight="1">
      <x:c r="A473" s="20"/>
      <x:c r="B473" s="22"/>
      <x:c r="C473" s="20"/>
      <x:c r="D473" t="str">
        <x:f>IF(C473="","",IFERROR(VLOOKUP(C473,Customers!$A$6:$B$155,2,FALSE),"INVALID CUSTOMER ID"))</x:f>
      </x:c>
      <x:c r="E473" s="20"/>
      <x:c r="F473" t="str">
        <x:f>IF(E473="","",IFERROR(VLOOKUP(E473,Products!$A$6:$B$110,2,FALSE),"INVALID SKU"))</x:f>
      </x:c>
      <x:c r="G473" s="20"/>
      <x:c r="H473" s="24" t="str">
        <x:f>IF(E473="","",IFERROR(VLOOKUP(E473,Products!$A$6:$D$110,4,FALSE),""))</x:f>
      </x:c>
      <x:c r="I473" s="25"/>
      <x:c r="J473" s="24" t="str">
        <x:f>IF(OR(G473="",I473=""),"",G473*I473)</x:f>
      </x:c>
      <x:c r="K473" s="20"/>
      <x:c r="L473" s="20"/>
    </x:row>
    <x:row r="474" ht="22" customHeight="1">
      <x:c r="A474" s="20"/>
      <x:c r="B474" s="22"/>
      <x:c r="C474" s="20"/>
      <x:c r="D474" t="str">
        <x:f>IF(C474="","",IFERROR(VLOOKUP(C474,Customers!$A$6:$B$155,2,FALSE),"INVALID CUSTOMER ID"))</x:f>
      </x:c>
      <x:c r="E474" s="20"/>
      <x:c r="F474" t="str">
        <x:f>IF(E474="","",IFERROR(VLOOKUP(E474,Products!$A$6:$B$110,2,FALSE),"INVALID SKU"))</x:f>
      </x:c>
      <x:c r="G474" s="20"/>
      <x:c r="H474" s="24" t="str">
        <x:f>IF(E474="","",IFERROR(VLOOKUP(E474,Products!$A$6:$D$110,4,FALSE),""))</x:f>
      </x:c>
      <x:c r="I474" s="25"/>
      <x:c r="J474" s="24" t="str">
        <x:f>IF(OR(G474="",I474=""),"",G474*I474)</x:f>
      </x:c>
      <x:c r="K474" s="20"/>
      <x:c r="L474" s="20"/>
    </x:row>
    <x:row r="475" ht="22" customHeight="1">
      <x:c r="A475" s="20"/>
      <x:c r="B475" s="22"/>
      <x:c r="C475" s="20"/>
      <x:c r="D475" t="str">
        <x:f>IF(C475="","",IFERROR(VLOOKUP(C475,Customers!$A$6:$B$155,2,FALSE),"INVALID CUSTOMER ID"))</x:f>
      </x:c>
      <x:c r="E475" s="20"/>
      <x:c r="F475" t="str">
        <x:f>IF(E475="","",IFERROR(VLOOKUP(E475,Products!$A$6:$B$110,2,FALSE),"INVALID SKU"))</x:f>
      </x:c>
      <x:c r="G475" s="20"/>
      <x:c r="H475" s="24" t="str">
        <x:f>IF(E475="","",IFERROR(VLOOKUP(E475,Products!$A$6:$D$110,4,FALSE),""))</x:f>
      </x:c>
      <x:c r="I475" s="25"/>
      <x:c r="J475" s="24" t="str">
        <x:f>IF(OR(G475="",I475=""),"",G475*I475)</x:f>
      </x:c>
      <x:c r="K475" s="20"/>
      <x:c r="L475" s="20"/>
    </x:row>
    <x:row r="476" ht="22" customHeight="1">
      <x:c r="A476" s="20"/>
      <x:c r="B476" s="22"/>
      <x:c r="C476" s="20"/>
      <x:c r="D476" t="str">
        <x:f>IF(C476="","",IFERROR(VLOOKUP(C476,Customers!$A$6:$B$155,2,FALSE),"INVALID CUSTOMER ID"))</x:f>
      </x:c>
      <x:c r="E476" s="20"/>
      <x:c r="F476" t="str">
        <x:f>IF(E476="","",IFERROR(VLOOKUP(E476,Products!$A$6:$B$110,2,FALSE),"INVALID SKU"))</x:f>
      </x:c>
      <x:c r="G476" s="20"/>
      <x:c r="H476" s="24" t="str">
        <x:f>IF(E476="","",IFERROR(VLOOKUP(E476,Products!$A$6:$D$110,4,FALSE),""))</x:f>
      </x:c>
      <x:c r="I476" s="25"/>
      <x:c r="J476" s="24" t="str">
        <x:f>IF(OR(G476="",I476=""),"",G476*I476)</x:f>
      </x:c>
      <x:c r="K476" s="20"/>
      <x:c r="L476" s="20"/>
    </x:row>
    <x:row r="477" ht="22" customHeight="1">
      <x:c r="A477" s="20"/>
      <x:c r="B477" s="22"/>
      <x:c r="C477" s="20"/>
      <x:c r="D477" t="str">
        <x:f>IF(C477="","",IFERROR(VLOOKUP(C477,Customers!$A$6:$B$155,2,FALSE),"INVALID CUSTOMER ID"))</x:f>
      </x:c>
      <x:c r="E477" s="20"/>
      <x:c r="F477" t="str">
        <x:f>IF(E477="","",IFERROR(VLOOKUP(E477,Products!$A$6:$B$110,2,FALSE),"INVALID SKU"))</x:f>
      </x:c>
      <x:c r="G477" s="20"/>
      <x:c r="H477" s="24" t="str">
        <x:f>IF(E477="","",IFERROR(VLOOKUP(E477,Products!$A$6:$D$110,4,FALSE),""))</x:f>
      </x:c>
      <x:c r="I477" s="25"/>
      <x:c r="J477" s="24" t="str">
        <x:f>IF(OR(G477="",I477=""),"",G477*I477)</x:f>
      </x:c>
      <x:c r="K477" s="20"/>
      <x:c r="L477" s="20"/>
    </x:row>
    <x:row r="478" ht="22" customHeight="1">
      <x:c r="A478" s="20"/>
      <x:c r="B478" s="22"/>
      <x:c r="C478" s="20"/>
      <x:c r="D478" t="str">
        <x:f>IF(C478="","",IFERROR(VLOOKUP(C478,Customers!$A$6:$B$155,2,FALSE),"INVALID CUSTOMER ID"))</x:f>
      </x:c>
      <x:c r="E478" s="20"/>
      <x:c r="F478" t="str">
        <x:f>IF(E478="","",IFERROR(VLOOKUP(E478,Products!$A$6:$B$110,2,FALSE),"INVALID SKU"))</x:f>
      </x:c>
      <x:c r="G478" s="20"/>
      <x:c r="H478" s="24" t="str">
        <x:f>IF(E478="","",IFERROR(VLOOKUP(E478,Products!$A$6:$D$110,4,FALSE),""))</x:f>
      </x:c>
      <x:c r="I478" s="25"/>
      <x:c r="J478" s="24" t="str">
        <x:f>IF(OR(G478="",I478=""),"",G478*I478)</x:f>
      </x:c>
      <x:c r="K478" s="20"/>
      <x:c r="L478" s="20"/>
    </x:row>
    <x:row r="479" ht="22" customHeight="1">
      <x:c r="A479" s="20"/>
      <x:c r="B479" s="22"/>
      <x:c r="C479" s="20"/>
      <x:c r="D479" t="str">
        <x:f>IF(C479="","",IFERROR(VLOOKUP(C479,Customers!$A$6:$B$155,2,FALSE),"INVALID CUSTOMER ID"))</x:f>
      </x:c>
      <x:c r="E479" s="20"/>
      <x:c r="F479" t="str">
        <x:f>IF(E479="","",IFERROR(VLOOKUP(E479,Products!$A$6:$B$110,2,FALSE),"INVALID SKU"))</x:f>
      </x:c>
      <x:c r="G479" s="20"/>
      <x:c r="H479" s="24" t="str">
        <x:f>IF(E479="","",IFERROR(VLOOKUP(E479,Products!$A$6:$D$110,4,FALSE),""))</x:f>
      </x:c>
      <x:c r="I479" s="25"/>
      <x:c r="J479" s="24" t="str">
        <x:f>IF(OR(G479="",I479=""),"",G479*I479)</x:f>
      </x:c>
      <x:c r="K479" s="20"/>
      <x:c r="L479" s="20"/>
    </x:row>
    <x:row r="480" ht="22" customHeight="1">
      <x:c r="A480" s="20"/>
      <x:c r="B480" s="22"/>
      <x:c r="C480" s="20"/>
      <x:c r="D480" t="str">
        <x:f>IF(C480="","",IFERROR(VLOOKUP(C480,Customers!$A$6:$B$155,2,FALSE),"INVALID CUSTOMER ID"))</x:f>
      </x:c>
      <x:c r="E480" s="20"/>
      <x:c r="F480" t="str">
        <x:f>IF(E480="","",IFERROR(VLOOKUP(E480,Products!$A$6:$B$110,2,FALSE),"INVALID SKU"))</x:f>
      </x:c>
      <x:c r="G480" s="20"/>
      <x:c r="H480" s="24" t="str">
        <x:f>IF(E480="","",IFERROR(VLOOKUP(E480,Products!$A$6:$D$110,4,FALSE),""))</x:f>
      </x:c>
      <x:c r="I480" s="25"/>
      <x:c r="J480" s="24" t="str">
        <x:f>IF(OR(G480="",I480=""),"",G480*I480)</x:f>
      </x:c>
      <x:c r="K480" s="20"/>
      <x:c r="L480" s="20"/>
    </x:row>
    <x:row r="481" ht="22" customHeight="1">
      <x:c r="A481" s="20"/>
      <x:c r="B481" s="22"/>
      <x:c r="C481" s="20"/>
      <x:c r="D481" t="str">
        <x:f>IF(C481="","",IFERROR(VLOOKUP(C481,Customers!$A$6:$B$155,2,FALSE),"INVALID CUSTOMER ID"))</x:f>
      </x:c>
      <x:c r="E481" s="20"/>
      <x:c r="F481" t="str">
        <x:f>IF(E481="","",IFERROR(VLOOKUP(E481,Products!$A$6:$B$110,2,FALSE),"INVALID SKU"))</x:f>
      </x:c>
      <x:c r="G481" s="20"/>
      <x:c r="H481" s="24" t="str">
        <x:f>IF(E481="","",IFERROR(VLOOKUP(E481,Products!$A$6:$D$110,4,FALSE),""))</x:f>
      </x:c>
      <x:c r="I481" s="25"/>
      <x:c r="J481" s="24" t="str">
        <x:f>IF(OR(G481="",I481=""),"",G481*I481)</x:f>
      </x:c>
      <x:c r="K481" s="20"/>
      <x:c r="L481" s="20"/>
    </x:row>
    <x:row r="482" ht="22" customHeight="1">
      <x:c r="A482" s="20"/>
      <x:c r="B482" s="22"/>
      <x:c r="C482" s="20"/>
      <x:c r="D482" t="str">
        <x:f>IF(C482="","",IFERROR(VLOOKUP(C482,Customers!$A$6:$B$155,2,FALSE),"INVALID CUSTOMER ID"))</x:f>
      </x:c>
      <x:c r="E482" s="20"/>
      <x:c r="F482" t="str">
        <x:f>IF(E482="","",IFERROR(VLOOKUP(E482,Products!$A$6:$B$110,2,FALSE),"INVALID SKU"))</x:f>
      </x:c>
      <x:c r="G482" s="20"/>
      <x:c r="H482" s="24" t="str">
        <x:f>IF(E482="","",IFERROR(VLOOKUP(E482,Products!$A$6:$D$110,4,FALSE),""))</x:f>
      </x:c>
      <x:c r="I482" s="25"/>
      <x:c r="J482" s="24" t="str">
        <x:f>IF(OR(G482="",I482=""),"",G482*I482)</x:f>
      </x:c>
      <x:c r="K482" s="20"/>
      <x:c r="L482" s="20"/>
    </x:row>
    <x:row r="483" ht="22" customHeight="1">
      <x:c r="A483" s="20"/>
      <x:c r="B483" s="22"/>
      <x:c r="C483" s="20"/>
      <x:c r="D483" t="str">
        <x:f>IF(C483="","",IFERROR(VLOOKUP(C483,Customers!$A$6:$B$155,2,FALSE),"INVALID CUSTOMER ID"))</x:f>
      </x:c>
      <x:c r="E483" s="20"/>
      <x:c r="F483" t="str">
        <x:f>IF(E483="","",IFERROR(VLOOKUP(E483,Products!$A$6:$B$110,2,FALSE),"INVALID SKU"))</x:f>
      </x:c>
      <x:c r="G483" s="20"/>
      <x:c r="H483" s="24" t="str">
        <x:f>IF(E483="","",IFERROR(VLOOKUP(E483,Products!$A$6:$D$110,4,FALSE),""))</x:f>
      </x:c>
      <x:c r="I483" s="25"/>
      <x:c r="J483" s="24" t="str">
        <x:f>IF(OR(G483="",I483=""),"",G483*I483)</x:f>
      </x:c>
      <x:c r="K483" s="20"/>
      <x:c r="L483" s="20"/>
    </x:row>
    <x:row r="484" ht="22" customHeight="1">
      <x:c r="A484" s="20"/>
      <x:c r="B484" s="22"/>
      <x:c r="C484" s="20"/>
      <x:c r="D484" t="str">
        <x:f>IF(C484="","",IFERROR(VLOOKUP(C484,Customers!$A$6:$B$155,2,FALSE),"INVALID CUSTOMER ID"))</x:f>
      </x:c>
      <x:c r="E484" s="20"/>
      <x:c r="F484" t="str">
        <x:f>IF(E484="","",IFERROR(VLOOKUP(E484,Products!$A$6:$B$110,2,FALSE),"INVALID SKU"))</x:f>
      </x:c>
      <x:c r="G484" s="20"/>
      <x:c r="H484" s="24" t="str">
        <x:f>IF(E484="","",IFERROR(VLOOKUP(E484,Products!$A$6:$D$110,4,FALSE),""))</x:f>
      </x:c>
      <x:c r="I484" s="25"/>
      <x:c r="J484" s="24" t="str">
        <x:f>IF(OR(G484="",I484=""),"",G484*I484)</x:f>
      </x:c>
      <x:c r="K484" s="20"/>
      <x:c r="L484" s="20"/>
    </x:row>
    <x:row r="485" ht="22" customHeight="1">
      <x:c r="A485" s="20"/>
      <x:c r="B485" s="22"/>
      <x:c r="C485" s="20"/>
      <x:c r="D485" t="str">
        <x:f>IF(C485="","",IFERROR(VLOOKUP(C485,Customers!$A$6:$B$155,2,FALSE),"INVALID CUSTOMER ID"))</x:f>
      </x:c>
      <x:c r="E485" s="20"/>
      <x:c r="F485" t="str">
        <x:f>IF(E485="","",IFERROR(VLOOKUP(E485,Products!$A$6:$B$110,2,FALSE),"INVALID SKU"))</x:f>
      </x:c>
      <x:c r="G485" s="20"/>
      <x:c r="H485" s="24" t="str">
        <x:f>IF(E485="","",IFERROR(VLOOKUP(E485,Products!$A$6:$D$110,4,FALSE),""))</x:f>
      </x:c>
      <x:c r="I485" s="25"/>
      <x:c r="J485" s="24" t="str">
        <x:f>IF(OR(G485="",I485=""),"",G485*I485)</x:f>
      </x:c>
      <x:c r="K485" s="20"/>
      <x:c r="L485" s="20"/>
    </x:row>
    <x:row r="486" ht="22" customHeight="1">
      <x:c r="A486" s="20"/>
      <x:c r="B486" s="22"/>
      <x:c r="C486" s="20"/>
      <x:c r="D486" t="str">
        <x:f>IF(C486="","",IFERROR(VLOOKUP(C486,Customers!$A$6:$B$155,2,FALSE),"INVALID CUSTOMER ID"))</x:f>
      </x:c>
      <x:c r="E486" s="20"/>
      <x:c r="F486" t="str">
        <x:f>IF(E486="","",IFERROR(VLOOKUP(E486,Products!$A$6:$B$110,2,FALSE),"INVALID SKU"))</x:f>
      </x:c>
      <x:c r="G486" s="20"/>
      <x:c r="H486" s="24" t="str">
        <x:f>IF(E486="","",IFERROR(VLOOKUP(E486,Products!$A$6:$D$110,4,FALSE),""))</x:f>
      </x:c>
      <x:c r="I486" s="25"/>
      <x:c r="J486" s="24" t="str">
        <x:f>IF(OR(G486="",I486=""),"",G486*I486)</x:f>
      </x:c>
      <x:c r="K486" s="20"/>
      <x:c r="L486" s="20"/>
    </x:row>
    <x:row r="487" ht="22" customHeight="1">
      <x:c r="A487" s="20"/>
      <x:c r="B487" s="22"/>
      <x:c r="C487" s="20"/>
      <x:c r="D487" t="str">
        <x:f>IF(C487="","",IFERROR(VLOOKUP(C487,Customers!$A$6:$B$155,2,FALSE),"INVALID CUSTOMER ID"))</x:f>
      </x:c>
      <x:c r="E487" s="20"/>
      <x:c r="F487" t="str">
        <x:f>IF(E487="","",IFERROR(VLOOKUP(E487,Products!$A$6:$B$110,2,FALSE),"INVALID SKU"))</x:f>
      </x:c>
      <x:c r="G487" s="20"/>
      <x:c r="H487" s="24" t="str">
        <x:f>IF(E487="","",IFERROR(VLOOKUP(E487,Products!$A$6:$D$110,4,FALSE),""))</x:f>
      </x:c>
      <x:c r="I487" s="25"/>
      <x:c r="J487" s="24" t="str">
        <x:f>IF(OR(G487="",I487=""),"",G487*I487)</x:f>
      </x:c>
      <x:c r="K487" s="20"/>
      <x:c r="L487" s="20"/>
    </x:row>
    <x:row r="488" ht="22" customHeight="1">
      <x:c r="A488" s="20"/>
      <x:c r="B488" s="22"/>
      <x:c r="C488" s="20"/>
      <x:c r="D488" t="str">
        <x:f>IF(C488="","",IFERROR(VLOOKUP(C488,Customers!$A$6:$B$155,2,FALSE),"INVALID CUSTOMER ID"))</x:f>
      </x:c>
      <x:c r="E488" s="20"/>
      <x:c r="F488" t="str">
        <x:f>IF(E488="","",IFERROR(VLOOKUP(E488,Products!$A$6:$B$110,2,FALSE),"INVALID SKU"))</x:f>
      </x:c>
      <x:c r="G488" s="20"/>
      <x:c r="H488" s="24" t="str">
        <x:f>IF(E488="","",IFERROR(VLOOKUP(E488,Products!$A$6:$D$110,4,FALSE),""))</x:f>
      </x:c>
      <x:c r="I488" s="25"/>
      <x:c r="J488" s="24" t="str">
        <x:f>IF(OR(G488="",I488=""),"",G488*I488)</x:f>
      </x:c>
      <x:c r="K488" s="20"/>
      <x:c r="L488" s="20"/>
    </x:row>
    <x:row r="489" ht="22" customHeight="1">
      <x:c r="A489" s="20"/>
      <x:c r="B489" s="22"/>
      <x:c r="C489" s="20"/>
      <x:c r="D489" t="str">
        <x:f>IF(C489="","",IFERROR(VLOOKUP(C489,Customers!$A$6:$B$155,2,FALSE),"INVALID CUSTOMER ID"))</x:f>
      </x:c>
      <x:c r="E489" s="20"/>
      <x:c r="F489" t="str">
        <x:f>IF(E489="","",IFERROR(VLOOKUP(E489,Products!$A$6:$B$110,2,FALSE),"INVALID SKU"))</x:f>
      </x:c>
      <x:c r="G489" s="20"/>
      <x:c r="H489" s="24" t="str">
        <x:f>IF(E489="","",IFERROR(VLOOKUP(E489,Products!$A$6:$D$110,4,FALSE),""))</x:f>
      </x:c>
      <x:c r="I489" s="25"/>
      <x:c r="J489" s="24" t="str">
        <x:f>IF(OR(G489="",I489=""),"",G489*I489)</x:f>
      </x:c>
      <x:c r="K489" s="20"/>
      <x:c r="L489" s="20"/>
    </x:row>
    <x:row r="490" ht="22" customHeight="1">
      <x:c r="A490" s="20"/>
      <x:c r="B490" s="22"/>
      <x:c r="C490" s="20"/>
      <x:c r="D490" t="str">
        <x:f>IF(C490="","",IFERROR(VLOOKUP(C490,Customers!$A$6:$B$155,2,FALSE),"INVALID CUSTOMER ID"))</x:f>
      </x:c>
      <x:c r="E490" s="20"/>
      <x:c r="F490" t="str">
        <x:f>IF(E490="","",IFERROR(VLOOKUP(E490,Products!$A$6:$B$110,2,FALSE),"INVALID SKU"))</x:f>
      </x:c>
      <x:c r="G490" s="20"/>
      <x:c r="H490" s="24" t="str">
        <x:f>IF(E490="","",IFERROR(VLOOKUP(E490,Products!$A$6:$D$110,4,FALSE),""))</x:f>
      </x:c>
      <x:c r="I490" s="25"/>
      <x:c r="J490" s="24" t="str">
        <x:f>IF(OR(G490="",I490=""),"",G490*I490)</x:f>
      </x:c>
      <x:c r="K490" s="20"/>
      <x:c r="L490" s="20"/>
    </x:row>
    <x:row r="491" ht="22" customHeight="1">
      <x:c r="A491" s="20"/>
      <x:c r="B491" s="22"/>
      <x:c r="C491" s="20"/>
      <x:c r="D491" t="str">
        <x:f>IF(C491="","",IFERROR(VLOOKUP(C491,Customers!$A$6:$B$155,2,FALSE),"INVALID CUSTOMER ID"))</x:f>
      </x:c>
      <x:c r="E491" s="20"/>
      <x:c r="F491" t="str">
        <x:f>IF(E491="","",IFERROR(VLOOKUP(E491,Products!$A$6:$B$110,2,FALSE),"INVALID SKU"))</x:f>
      </x:c>
      <x:c r="G491" s="20"/>
      <x:c r="H491" s="24" t="str">
        <x:f>IF(E491="","",IFERROR(VLOOKUP(E491,Products!$A$6:$D$110,4,FALSE),""))</x:f>
      </x:c>
      <x:c r="I491" s="25"/>
      <x:c r="J491" s="24" t="str">
        <x:f>IF(OR(G491="",I491=""),"",G491*I491)</x:f>
      </x:c>
      <x:c r="K491" s="20"/>
      <x:c r="L491" s="20"/>
    </x:row>
    <x:row r="492" ht="22" customHeight="1">
      <x:c r="A492" s="20"/>
      <x:c r="B492" s="22"/>
      <x:c r="C492" s="20"/>
      <x:c r="D492" t="str">
        <x:f>IF(C492="","",IFERROR(VLOOKUP(C492,Customers!$A$6:$B$155,2,FALSE),"INVALID CUSTOMER ID"))</x:f>
      </x:c>
      <x:c r="E492" s="20"/>
      <x:c r="F492" t="str">
        <x:f>IF(E492="","",IFERROR(VLOOKUP(E492,Products!$A$6:$B$110,2,FALSE),"INVALID SKU"))</x:f>
      </x:c>
      <x:c r="G492" s="20"/>
      <x:c r="H492" s="24" t="str">
        <x:f>IF(E492="","",IFERROR(VLOOKUP(E492,Products!$A$6:$D$110,4,FALSE),""))</x:f>
      </x:c>
      <x:c r="I492" s="25"/>
      <x:c r="J492" s="24" t="str">
        <x:f>IF(OR(G492="",I492=""),"",G492*I492)</x:f>
      </x:c>
      <x:c r="K492" s="20"/>
      <x:c r="L492" s="20"/>
    </x:row>
    <x:row r="493" ht="22" customHeight="1">
      <x:c r="A493" s="20"/>
      <x:c r="B493" s="22"/>
      <x:c r="C493" s="20"/>
      <x:c r="D493" t="str">
        <x:f>IF(C493="","",IFERROR(VLOOKUP(C493,Customers!$A$6:$B$155,2,FALSE),"INVALID CUSTOMER ID"))</x:f>
      </x:c>
      <x:c r="E493" s="20"/>
      <x:c r="F493" t="str">
        <x:f>IF(E493="","",IFERROR(VLOOKUP(E493,Products!$A$6:$B$110,2,FALSE),"INVALID SKU"))</x:f>
      </x:c>
      <x:c r="G493" s="20"/>
      <x:c r="H493" s="24" t="str">
        <x:f>IF(E493="","",IFERROR(VLOOKUP(E493,Products!$A$6:$D$110,4,FALSE),""))</x:f>
      </x:c>
      <x:c r="I493" s="25"/>
      <x:c r="J493" s="24" t="str">
        <x:f>IF(OR(G493="",I493=""),"",G493*I493)</x:f>
      </x:c>
      <x:c r="K493" s="20"/>
      <x:c r="L493" s="20"/>
    </x:row>
    <x:row r="494" ht="22" customHeight="1">
      <x:c r="A494" s="20"/>
      <x:c r="B494" s="22"/>
      <x:c r="C494" s="20"/>
      <x:c r="D494" t="str">
        <x:f>IF(C494="","",IFERROR(VLOOKUP(C494,Customers!$A$6:$B$155,2,FALSE),"INVALID CUSTOMER ID"))</x:f>
      </x:c>
      <x:c r="E494" s="20"/>
      <x:c r="F494" t="str">
        <x:f>IF(E494="","",IFERROR(VLOOKUP(E494,Products!$A$6:$B$110,2,FALSE),"INVALID SKU"))</x:f>
      </x:c>
      <x:c r="G494" s="20"/>
      <x:c r="H494" s="24" t="str">
        <x:f>IF(E494="","",IFERROR(VLOOKUP(E494,Products!$A$6:$D$110,4,FALSE),""))</x:f>
      </x:c>
      <x:c r="I494" s="25"/>
      <x:c r="J494" s="24" t="str">
        <x:f>IF(OR(G494="",I494=""),"",G494*I494)</x:f>
      </x:c>
      <x:c r="K494" s="20"/>
      <x:c r="L494" s="20"/>
    </x:row>
    <x:row r="495" ht="22" customHeight="1">
      <x:c r="A495" s="20"/>
      <x:c r="B495" s="22"/>
      <x:c r="C495" s="20"/>
      <x:c r="D495" t="str">
        <x:f>IF(C495="","",IFERROR(VLOOKUP(C495,Customers!$A$6:$B$155,2,FALSE),"INVALID CUSTOMER ID"))</x:f>
      </x:c>
      <x:c r="E495" s="20"/>
      <x:c r="F495" t="str">
        <x:f>IF(E495="","",IFERROR(VLOOKUP(E495,Products!$A$6:$B$110,2,FALSE),"INVALID SKU"))</x:f>
      </x:c>
      <x:c r="G495" s="20"/>
      <x:c r="H495" s="24" t="str">
        <x:f>IF(E495="","",IFERROR(VLOOKUP(E495,Products!$A$6:$D$110,4,FALSE),""))</x:f>
      </x:c>
      <x:c r="I495" s="25"/>
      <x:c r="J495" s="24" t="str">
        <x:f>IF(OR(G495="",I495=""),"",G495*I495)</x:f>
      </x:c>
      <x:c r="K495" s="20"/>
      <x:c r="L495" s="20"/>
    </x:row>
    <x:row r="496" ht="22" customHeight="1">
      <x:c r="A496" s="20"/>
      <x:c r="B496" s="22"/>
      <x:c r="C496" s="20"/>
      <x:c r="D496" t="str">
        <x:f>IF(C496="","",IFERROR(VLOOKUP(C496,Customers!$A$6:$B$155,2,FALSE),"INVALID CUSTOMER ID"))</x:f>
      </x:c>
      <x:c r="E496" s="20"/>
      <x:c r="F496" t="str">
        <x:f>IF(E496="","",IFERROR(VLOOKUP(E496,Products!$A$6:$B$110,2,FALSE),"INVALID SKU"))</x:f>
      </x:c>
      <x:c r="G496" s="20"/>
      <x:c r="H496" s="24" t="str">
        <x:f>IF(E496="","",IFERROR(VLOOKUP(E496,Products!$A$6:$D$110,4,FALSE),""))</x:f>
      </x:c>
      <x:c r="I496" s="25"/>
      <x:c r="J496" s="24" t="str">
        <x:f>IF(OR(G496="",I496=""),"",G496*I496)</x:f>
      </x:c>
      <x:c r="K496" s="20"/>
      <x:c r="L496" s="20"/>
    </x:row>
    <x:row r="497" ht="22" customHeight="1">
      <x:c r="A497" s="20"/>
      <x:c r="B497" s="22"/>
      <x:c r="C497" s="20"/>
      <x:c r="D497" t="str">
        <x:f>IF(C497="","",IFERROR(VLOOKUP(C497,Customers!$A$6:$B$155,2,FALSE),"INVALID CUSTOMER ID"))</x:f>
      </x:c>
      <x:c r="E497" s="20"/>
      <x:c r="F497" t="str">
        <x:f>IF(E497="","",IFERROR(VLOOKUP(E497,Products!$A$6:$B$110,2,FALSE),"INVALID SKU"))</x:f>
      </x:c>
      <x:c r="G497" s="20"/>
      <x:c r="H497" s="24" t="str">
        <x:f>IF(E497="","",IFERROR(VLOOKUP(E497,Products!$A$6:$D$110,4,FALSE),""))</x:f>
      </x:c>
      <x:c r="I497" s="25"/>
      <x:c r="J497" s="24" t="str">
        <x:f>IF(OR(G497="",I497=""),"",G497*I497)</x:f>
      </x:c>
      <x:c r="K497" s="20"/>
      <x:c r="L497" s="20"/>
    </x:row>
    <x:row r="498" ht="22" customHeight="1">
      <x:c r="A498" s="20"/>
      <x:c r="B498" s="22"/>
      <x:c r="C498" s="20"/>
      <x:c r="D498" t="str">
        <x:f>IF(C498="","",IFERROR(VLOOKUP(C498,Customers!$A$6:$B$155,2,FALSE),"INVALID CUSTOMER ID"))</x:f>
      </x:c>
      <x:c r="E498" s="20"/>
      <x:c r="F498" t="str">
        <x:f>IF(E498="","",IFERROR(VLOOKUP(E498,Products!$A$6:$B$110,2,FALSE),"INVALID SKU"))</x:f>
      </x:c>
      <x:c r="G498" s="20"/>
      <x:c r="H498" s="24" t="str">
        <x:f>IF(E498="","",IFERROR(VLOOKUP(E498,Products!$A$6:$D$110,4,FALSE),""))</x:f>
      </x:c>
      <x:c r="I498" s="25"/>
      <x:c r="J498" s="24" t="str">
        <x:f>IF(OR(G498="",I498=""),"",G498*I498)</x:f>
      </x:c>
      <x:c r="K498" s="20"/>
      <x:c r="L498" s="20"/>
    </x:row>
    <x:row r="499" ht="22" customHeight="1">
      <x:c r="A499" s="20"/>
      <x:c r="B499" s="22"/>
      <x:c r="C499" s="20"/>
      <x:c r="D499" t="str">
        <x:f>IF(C499="","",IFERROR(VLOOKUP(C499,Customers!$A$6:$B$155,2,FALSE),"INVALID CUSTOMER ID"))</x:f>
      </x:c>
      <x:c r="E499" s="20"/>
      <x:c r="F499" t="str">
        <x:f>IF(E499="","",IFERROR(VLOOKUP(E499,Products!$A$6:$B$110,2,FALSE),"INVALID SKU"))</x:f>
      </x:c>
      <x:c r="G499" s="20"/>
      <x:c r="H499" s="24" t="str">
        <x:f>IF(E499="","",IFERROR(VLOOKUP(E499,Products!$A$6:$D$110,4,FALSE),""))</x:f>
      </x:c>
      <x:c r="I499" s="25"/>
      <x:c r="J499" s="24" t="str">
        <x:f>IF(OR(G499="",I499=""),"",G499*I499)</x:f>
      </x:c>
      <x:c r="K499" s="20"/>
      <x:c r="L499" s="20"/>
    </x:row>
    <x:row r="500" ht="22" customHeight="1">
      <x:c r="A500" s="20"/>
      <x:c r="B500" s="22"/>
      <x:c r="C500" s="20"/>
      <x:c r="D500" t="str">
        <x:f>IF(C500="","",IFERROR(VLOOKUP(C500,Customers!$A$6:$B$155,2,FALSE),"INVALID CUSTOMER ID"))</x:f>
      </x:c>
      <x:c r="E500" s="20"/>
      <x:c r="F500" t="str">
        <x:f>IF(E500="","",IFERROR(VLOOKUP(E500,Products!$A$6:$B$110,2,FALSE),"INVALID SKU"))</x:f>
      </x:c>
      <x:c r="G500" s="20"/>
      <x:c r="H500" s="24" t="str">
        <x:f>IF(E500="","",IFERROR(VLOOKUP(E500,Products!$A$6:$D$110,4,FALSE),""))</x:f>
      </x:c>
      <x:c r="I500" s="25"/>
      <x:c r="J500" s="24" t="str">
        <x:f>IF(OR(G500="",I500=""),"",G500*I500)</x:f>
      </x:c>
      <x:c r="K500" s="20"/>
      <x:c r="L500" s="20"/>
    </x:row>
    <x:row r="501" ht="22" customHeight="1">
      <x:c r="A501" s="20"/>
      <x:c r="B501" s="22"/>
      <x:c r="C501" s="20"/>
      <x:c r="D501" t="str">
        <x:f>IF(C501="","",IFERROR(VLOOKUP(C501,Customers!$A$6:$B$155,2,FALSE),"INVALID CUSTOMER ID"))</x:f>
      </x:c>
      <x:c r="E501" s="20"/>
      <x:c r="F501" t="str">
        <x:f>IF(E501="","",IFERROR(VLOOKUP(E501,Products!$A$6:$B$110,2,FALSE),"INVALID SKU"))</x:f>
      </x:c>
      <x:c r="G501" s="20"/>
      <x:c r="H501" s="24" t="str">
        <x:f>IF(E501="","",IFERROR(VLOOKUP(E501,Products!$A$6:$D$110,4,FALSE),""))</x:f>
      </x:c>
      <x:c r="I501" s="25"/>
      <x:c r="J501" s="24" t="str">
        <x:f>IF(OR(G501="",I501=""),"",G501*I501)</x:f>
      </x:c>
      <x:c r="K501" s="20"/>
      <x:c r="L501" s="20"/>
    </x:row>
    <x:row r="502" ht="22" customHeight="1">
      <x:c r="A502" s="20"/>
      <x:c r="B502" s="22"/>
      <x:c r="C502" s="20"/>
      <x:c r="D502" t="str">
        <x:f>IF(C502="","",IFERROR(VLOOKUP(C502,Customers!$A$6:$B$155,2,FALSE),"INVALID CUSTOMER ID"))</x:f>
      </x:c>
      <x:c r="E502" s="20"/>
      <x:c r="F502" t="str">
        <x:f>IF(E502="","",IFERROR(VLOOKUP(E502,Products!$A$6:$B$110,2,FALSE),"INVALID SKU"))</x:f>
      </x:c>
      <x:c r="G502" s="20"/>
      <x:c r="H502" s="24" t="str">
        <x:f>IF(E502="","",IFERROR(VLOOKUP(E502,Products!$A$6:$D$110,4,FALSE),""))</x:f>
      </x:c>
      <x:c r="I502" s="25"/>
      <x:c r="J502" s="24" t="str">
        <x:f>IF(OR(G502="",I502=""),"",G502*I502)</x:f>
      </x:c>
      <x:c r="K502" s="20"/>
      <x:c r="L502" s="20"/>
    </x:row>
    <x:row r="503" ht="22" customHeight="1">
      <x:c r="A503" s="20"/>
      <x:c r="B503" s="22"/>
      <x:c r="C503" s="20"/>
      <x:c r="D503" t="str">
        <x:f>IF(C503="","",IFERROR(VLOOKUP(C503,Customers!$A$6:$B$155,2,FALSE),"INVALID CUSTOMER ID"))</x:f>
      </x:c>
      <x:c r="E503" s="20"/>
      <x:c r="F503" t="str">
        <x:f>IF(E503="","",IFERROR(VLOOKUP(E503,Products!$A$6:$B$110,2,FALSE),"INVALID SKU"))</x:f>
      </x:c>
      <x:c r="G503" s="20"/>
      <x:c r="H503" s="24" t="str">
        <x:f>IF(E503="","",IFERROR(VLOOKUP(E503,Products!$A$6:$D$110,4,FALSE),""))</x:f>
      </x:c>
      <x:c r="I503" s="25"/>
      <x:c r="J503" s="24" t="str">
        <x:f>IF(OR(G503="",I503=""),"",G503*I503)</x:f>
      </x:c>
      <x:c r="K503" s="20"/>
      <x:c r="L503" s="20"/>
    </x:row>
    <x:row r="504" ht="22" customHeight="1">
      <x:c r="A504" s="20"/>
      <x:c r="B504" s="22"/>
      <x:c r="C504" s="20"/>
      <x:c r="D504" t="str">
        <x:f>IF(C504="","",IFERROR(VLOOKUP(C504,Customers!$A$6:$B$155,2,FALSE),"INVALID CUSTOMER ID"))</x:f>
      </x:c>
      <x:c r="E504" s="20"/>
      <x:c r="F504" t="str">
        <x:f>IF(E504="","",IFERROR(VLOOKUP(E504,Products!$A$6:$B$110,2,FALSE),"INVALID SKU"))</x:f>
      </x:c>
      <x:c r="G504" s="20"/>
      <x:c r="H504" s="24" t="str">
        <x:f>IF(E504="","",IFERROR(VLOOKUP(E504,Products!$A$6:$D$110,4,FALSE),""))</x:f>
      </x:c>
      <x:c r="I504" s="25"/>
      <x:c r="J504" s="24" t="str">
        <x:f>IF(OR(G504="",I504=""),"",G504*I504)</x:f>
      </x:c>
      <x:c r="K504" s="20"/>
      <x:c r="L504" s="20"/>
    </x:row>
    <x:row r="505" ht="22" customHeight="1">
      <x:c r="A505" s="20"/>
      <x:c r="B505" s="22"/>
      <x:c r="C505" s="20"/>
      <x:c r="D505" t="str">
        <x:f>IF(C505="","",IFERROR(VLOOKUP(C505,Customers!$A$6:$B$155,2,FALSE),"INVALID CUSTOMER ID"))</x:f>
      </x:c>
      <x:c r="E505" s="20"/>
      <x:c r="F505" t="str">
        <x:f>IF(E505="","",IFERROR(VLOOKUP(E505,Products!$A$6:$B$110,2,FALSE),"INVALID SKU"))</x:f>
      </x:c>
      <x:c r="G505" s="20"/>
      <x:c r="H505" s="24" t="str">
        <x:f>IF(E505="","",IFERROR(VLOOKUP(E505,Products!$A$6:$D$110,4,FALSE),""))</x:f>
      </x:c>
      <x:c r="I505" s="25"/>
      <x:c r="J505" s="24" t="str">
        <x:f>IF(OR(G505="",I505=""),"",G505*I505)</x:f>
      </x:c>
      <x:c r="K505" s="20"/>
      <x:c r="L505" s="20"/>
    </x:row>
  </x:sheetData>
  <x:mergeCells>
    <x:mergeCell ref="A1:L2"/>
    <x:mergeCell ref="A3:L3"/>
  </x:mergeCells>
  <x:conditionalFormatting sqref="D6:D505">
    <x:cfRule type="expression" dxfId="2" priority="1">
      <x:formula>D6="INVALID CUSTOMER ID"</x:formula>
    </x:cfRule>
  </x:conditionalFormatting>
  <x:conditionalFormatting sqref="F6:F505">
    <x:cfRule type="expression" dxfId="3" priority="2">
      <x:formula>F6="INVALID SKU"</x:formula>
    </x:cfRule>
  </x:conditionalFormatting>
  <x:conditionalFormatting sqref="A6:A505">
    <x:cfRule type="expression" dxfId="4" priority="3">
      <x:formula>AND(A6&lt;&gt;"",COUNTIF($A$6:$A$505,A6)&gt;1)</x:formula>
    </x:cfRule>
  </x:conditionalFormatting>
  <x:dataValidations count="1">
    <x:dataValidation type="list" sqref="K6:K505">
      <x:formula1>"Pending,Completed,Cancelled"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0" hidden="0" customWidth="1"/>
    <x:col min="4" max="4" width="29" hidden="0" customWidth="1"/>
    <x:col min="5" max="5" width="32" hidden="0" customWidth="1"/>
    <x:col min="6" max="6" width="26" hidden="0" customWidth="1"/>
    <x:col min="7" max="7" width="18" hidden="0" customWidth="1"/>
    <x:col min="8" max="8" width="20" hidden="0" customWidth="1"/>
    <x:col min="9" max="9" width="16" hidden="0" customWidth="1"/>
    <x:col min="10" max="10" width="16" hidden="0" customWidth="1"/>
    <x:col min="11" max="11" width="13" hidden="0" customWidth="1"/>
    <x:col min="12" max="12" width="15" hidden="0" customWidth="1"/>
    <x:col min="13" max="13" width="18" hidden="0" customWidth="1"/>
    <x:col min="14" max="14" width="19" hidden="0" customWidth="1"/>
  </x:cols>
  <x:sheetData>
    <x:row r="1" ht="25" customHeight="1">
      <x:c r="A1" s="4" t="str">
        <x:v>CUSTOMER DIRECTORY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9" t="str">
        <x:v>Enter each customer once. Customer ID is the stable key for sales and purchase history.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30" customHeight="1">
      <x:c r="A5" s="15" t="str">
        <x:v>Customer ID</x:v>
      </x:c>
      <x:c r="B5" s="15" t="str">
        <x:v>Full Name</x:v>
      </x:c>
      <x:c r="C5" s="15" t="str">
        <x:v>Mobile / Phone</x:v>
      </x:c>
      <x:c r="D5" s="15" t="str">
        <x:v>Email</x:v>
      </x:c>
      <x:c r="E5" s="15" t="str">
        <x:v>Address Line 1</x:v>
      </x:c>
      <x:c r="F5" s="15" t="str">
        <x:v>Address Line 2</x:v>
      </x:c>
      <x:c r="G5" s="15" t="str">
        <x:v>City</x:v>
      </x:c>
      <x:c r="H5" s="15" t="str">
        <x:v>State / Region</x:v>
      </x:c>
      <x:c r="I5" s="15" t="str">
        <x:v>Postal Code</x:v>
      </x:c>
      <x:c r="J5" s="15" t="str">
        <x:v>Country</x:v>
      </x:c>
      <x:c r="K5" s="15" t="str">
        <x:v>Orders</x:v>
      </x:c>
      <x:c r="L5" s="15" t="str">
        <x:v>Units Bought</x:v>
      </x:c>
      <x:c r="M5" s="15" t="str">
        <x:v>Lifetime Sales</x:v>
      </x:c>
      <x:c r="N5" s="15" t="str">
        <x:v>Last Purchase</x:v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t="str">
        <x:f>IF(A6="","",COUNTIFS(Sales!$C$6:$C$505,A6,Sales!$K$6:$K$505,"Completed"))</x:f>
      </x:c>
      <x:c r="L6" t="str">
        <x:f>IF(A6="","",SUMIFS(Sales!$G$6:$G$505,Sales!$C$6:$C$505,A6,Sales!$K$6:$K$505,"Completed"))</x:f>
      </x:c>
      <x:c r="M6" s="24" t="str">
        <x:f>IF(A6="","",SUMIFS(Sales!$J$6:$J$505,Sales!$C$6:$C$505,A6,Sales!$K$6:$K$505,"Completed"))</x:f>
      </x:c>
      <x:c r="N6" s="28" t="str">
        <x:f>IF(A6="","",IF(K6=0,"",_xlfn.MAXIFS(Sales!$B$6:$B$505,Sales!$C$6:$C$505,A6,Sales!$K$6:$K$505,"Completed")))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t="str">
        <x:f>IF(A7="","",COUNTIFS(Sales!$C$6:$C$505,A7,Sales!$K$6:$K$505,"Completed"))</x:f>
      </x:c>
      <x:c r="L7" t="str">
        <x:f>IF(A7="","",SUMIFS(Sales!$G$6:$G$505,Sales!$C$6:$C$505,A7,Sales!$K$6:$K$505,"Completed"))</x:f>
      </x:c>
      <x:c r="M7" s="24" t="str">
        <x:f>IF(A7="","",SUMIFS(Sales!$J$6:$J$505,Sales!$C$6:$C$505,A7,Sales!$K$6:$K$505,"Completed"))</x:f>
      </x:c>
      <x:c r="N7" s="28" t="str">
        <x:f>IF(A7="","",IF(K7=0,"",_xlfn.MAXIFS(Sales!$B$6:$B$505,Sales!$C$6:$C$505,A7,Sales!$K$6:$K$505,"Completed")))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t="str">
        <x:f>IF(A8="","",COUNTIFS(Sales!$C$6:$C$505,A8,Sales!$K$6:$K$505,"Completed"))</x:f>
      </x:c>
      <x:c r="L8" t="str">
        <x:f>IF(A8="","",SUMIFS(Sales!$G$6:$G$505,Sales!$C$6:$C$505,A8,Sales!$K$6:$K$505,"Completed"))</x:f>
      </x:c>
      <x:c r="M8" s="24" t="str">
        <x:f>IF(A8="","",SUMIFS(Sales!$J$6:$J$505,Sales!$C$6:$C$505,A8,Sales!$K$6:$K$505,"Completed"))</x:f>
      </x:c>
      <x:c r="N8" s="28" t="str">
        <x:f>IF(A8="","",IF(K8=0,"",_xlfn.MAXIFS(Sales!$B$6:$B$505,Sales!$C$6:$C$505,A8,Sales!$K$6:$K$505,"Completed")))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t="str">
        <x:f>IF(A9="","",COUNTIFS(Sales!$C$6:$C$505,A9,Sales!$K$6:$K$505,"Completed"))</x:f>
      </x:c>
      <x:c r="L9" t="str">
        <x:f>IF(A9="","",SUMIFS(Sales!$G$6:$G$505,Sales!$C$6:$C$505,A9,Sales!$K$6:$K$505,"Completed"))</x:f>
      </x:c>
      <x:c r="M9" s="24" t="str">
        <x:f>IF(A9="","",SUMIFS(Sales!$J$6:$J$505,Sales!$C$6:$C$505,A9,Sales!$K$6:$K$505,"Completed"))</x:f>
      </x:c>
      <x:c r="N9" s="28" t="str">
        <x:f>IF(A9="","",IF(K9=0,"",_xlfn.MAXIFS(Sales!$B$6:$B$505,Sales!$C$6:$C$505,A9,Sales!$K$6:$K$505,"Completed")))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t="str">
        <x:f>IF(A10="","",COUNTIFS(Sales!$C$6:$C$505,A10,Sales!$K$6:$K$505,"Completed"))</x:f>
      </x:c>
      <x:c r="L10" t="str">
        <x:f>IF(A10="","",SUMIFS(Sales!$G$6:$G$505,Sales!$C$6:$C$505,A10,Sales!$K$6:$K$505,"Completed"))</x:f>
      </x:c>
      <x:c r="M10" s="24" t="str">
        <x:f>IF(A10="","",SUMIFS(Sales!$J$6:$J$505,Sales!$C$6:$C$505,A10,Sales!$K$6:$K$505,"Completed"))</x:f>
      </x:c>
      <x:c r="N10" s="28" t="str">
        <x:f>IF(A10="","",IF(K10=0,"",_xlfn.MAXIFS(Sales!$B$6:$B$505,Sales!$C$6:$C$505,A10,Sales!$K$6:$K$505,"Completed")))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t="str">
        <x:f>IF(A11="","",COUNTIFS(Sales!$C$6:$C$505,A11,Sales!$K$6:$K$505,"Completed"))</x:f>
      </x:c>
      <x:c r="L11" t="str">
        <x:f>IF(A11="","",SUMIFS(Sales!$G$6:$G$505,Sales!$C$6:$C$505,A11,Sales!$K$6:$K$505,"Completed"))</x:f>
      </x:c>
      <x:c r="M11" s="24" t="str">
        <x:f>IF(A11="","",SUMIFS(Sales!$J$6:$J$505,Sales!$C$6:$C$505,A11,Sales!$K$6:$K$505,"Completed"))</x:f>
      </x:c>
      <x:c r="N11" s="28" t="str">
        <x:f>IF(A11="","",IF(K11=0,"",_xlfn.MAXIFS(Sales!$B$6:$B$505,Sales!$C$6:$C$505,A11,Sales!$K$6:$K$505,"Completed")))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t="str">
        <x:f>IF(A12="","",COUNTIFS(Sales!$C$6:$C$505,A12,Sales!$K$6:$K$505,"Completed"))</x:f>
      </x:c>
      <x:c r="L12" t="str">
        <x:f>IF(A12="","",SUMIFS(Sales!$G$6:$G$505,Sales!$C$6:$C$505,A12,Sales!$K$6:$K$505,"Completed"))</x:f>
      </x:c>
      <x:c r="M12" s="24" t="str">
        <x:f>IF(A12="","",SUMIFS(Sales!$J$6:$J$505,Sales!$C$6:$C$505,A12,Sales!$K$6:$K$505,"Completed"))</x:f>
      </x:c>
      <x:c r="N12" s="28" t="str">
        <x:f>IF(A12="","",IF(K12=0,"",_xlfn.MAXIFS(Sales!$B$6:$B$505,Sales!$C$6:$C$505,A12,Sales!$K$6:$K$505,"Completed")))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t="str">
        <x:f>IF(A13="","",COUNTIFS(Sales!$C$6:$C$505,A13,Sales!$K$6:$K$505,"Completed"))</x:f>
      </x:c>
      <x:c r="L13" t="str">
        <x:f>IF(A13="","",SUMIFS(Sales!$G$6:$G$505,Sales!$C$6:$C$505,A13,Sales!$K$6:$K$505,"Completed"))</x:f>
      </x:c>
      <x:c r="M13" s="24" t="str">
        <x:f>IF(A13="","",SUMIFS(Sales!$J$6:$J$505,Sales!$C$6:$C$505,A13,Sales!$K$6:$K$505,"Completed"))</x:f>
      </x:c>
      <x:c r="N13" s="28" t="str">
        <x:f>IF(A13="","",IF(K13=0,"",_xlfn.MAXIFS(Sales!$B$6:$B$505,Sales!$C$6:$C$505,A13,Sales!$K$6:$K$505,"Completed")))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t="str">
        <x:f>IF(A14="","",COUNTIFS(Sales!$C$6:$C$505,A14,Sales!$K$6:$K$505,"Completed"))</x:f>
      </x:c>
      <x:c r="L14" t="str">
        <x:f>IF(A14="","",SUMIFS(Sales!$G$6:$G$505,Sales!$C$6:$C$505,A14,Sales!$K$6:$K$505,"Completed"))</x:f>
      </x:c>
      <x:c r="M14" s="24" t="str">
        <x:f>IF(A14="","",SUMIFS(Sales!$J$6:$J$505,Sales!$C$6:$C$505,A14,Sales!$K$6:$K$505,"Completed"))</x:f>
      </x:c>
      <x:c r="N14" s="28" t="str">
        <x:f>IF(A14="","",IF(K14=0,"",_xlfn.MAXIFS(Sales!$B$6:$B$505,Sales!$C$6:$C$505,A14,Sales!$K$6:$K$505,"Completed")))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t="str">
        <x:f>IF(A15="","",COUNTIFS(Sales!$C$6:$C$505,A15,Sales!$K$6:$K$505,"Completed"))</x:f>
      </x:c>
      <x:c r="L15" t="str">
        <x:f>IF(A15="","",SUMIFS(Sales!$G$6:$G$505,Sales!$C$6:$C$505,A15,Sales!$K$6:$K$505,"Completed"))</x:f>
      </x:c>
      <x:c r="M15" s="24" t="str">
        <x:f>IF(A15="","",SUMIFS(Sales!$J$6:$J$505,Sales!$C$6:$C$505,A15,Sales!$K$6:$K$505,"Completed"))</x:f>
      </x:c>
      <x:c r="N15" s="28" t="str">
        <x:f>IF(A15="","",IF(K15=0,"",_xlfn.MAXIFS(Sales!$B$6:$B$505,Sales!$C$6:$C$505,A15,Sales!$K$6:$K$505,"Completed")))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t="str">
        <x:f>IF(A16="","",COUNTIFS(Sales!$C$6:$C$505,A16,Sales!$K$6:$K$505,"Completed"))</x:f>
      </x:c>
      <x:c r="L16" t="str">
        <x:f>IF(A16="","",SUMIFS(Sales!$G$6:$G$505,Sales!$C$6:$C$505,A16,Sales!$K$6:$K$505,"Completed"))</x:f>
      </x:c>
      <x:c r="M16" s="24" t="str">
        <x:f>IF(A16="","",SUMIFS(Sales!$J$6:$J$505,Sales!$C$6:$C$505,A16,Sales!$K$6:$K$505,"Completed"))</x:f>
      </x:c>
      <x:c r="N16" s="28" t="str">
        <x:f>IF(A16="","",IF(K16=0,"",_xlfn.MAXIFS(Sales!$B$6:$B$505,Sales!$C$6:$C$505,A16,Sales!$K$6:$K$505,"Completed")))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t="str">
        <x:f>IF(A17="","",COUNTIFS(Sales!$C$6:$C$505,A17,Sales!$K$6:$K$505,"Completed"))</x:f>
      </x:c>
      <x:c r="L17" t="str">
        <x:f>IF(A17="","",SUMIFS(Sales!$G$6:$G$505,Sales!$C$6:$C$505,A17,Sales!$K$6:$K$505,"Completed"))</x:f>
      </x:c>
      <x:c r="M17" s="24" t="str">
        <x:f>IF(A17="","",SUMIFS(Sales!$J$6:$J$505,Sales!$C$6:$C$505,A17,Sales!$K$6:$K$505,"Completed"))</x:f>
      </x:c>
      <x:c r="N17" s="28" t="str">
        <x:f>IF(A17="","",IF(K17=0,"",_xlfn.MAXIFS(Sales!$B$6:$B$505,Sales!$C$6:$C$505,A17,Sales!$K$6:$K$505,"Completed")))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t="str">
        <x:f>IF(A18="","",COUNTIFS(Sales!$C$6:$C$505,A18,Sales!$K$6:$K$505,"Completed"))</x:f>
      </x:c>
      <x:c r="L18" t="str">
        <x:f>IF(A18="","",SUMIFS(Sales!$G$6:$G$505,Sales!$C$6:$C$505,A18,Sales!$K$6:$K$505,"Completed"))</x:f>
      </x:c>
      <x:c r="M18" s="24" t="str">
        <x:f>IF(A18="","",SUMIFS(Sales!$J$6:$J$505,Sales!$C$6:$C$505,A18,Sales!$K$6:$K$505,"Completed"))</x:f>
      </x:c>
      <x:c r="N18" s="28" t="str">
        <x:f>IF(A18="","",IF(K18=0,"",_xlfn.MAXIFS(Sales!$B$6:$B$505,Sales!$C$6:$C$505,A18,Sales!$K$6:$K$505,"Completed")))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t="str">
        <x:f>IF(A19="","",COUNTIFS(Sales!$C$6:$C$505,A19,Sales!$K$6:$K$505,"Completed"))</x:f>
      </x:c>
      <x:c r="L19" t="str">
        <x:f>IF(A19="","",SUMIFS(Sales!$G$6:$G$505,Sales!$C$6:$C$505,A19,Sales!$K$6:$K$505,"Completed"))</x:f>
      </x:c>
      <x:c r="M19" s="24" t="str">
        <x:f>IF(A19="","",SUMIFS(Sales!$J$6:$J$505,Sales!$C$6:$C$505,A19,Sales!$K$6:$K$505,"Completed"))</x:f>
      </x:c>
      <x:c r="N19" s="28" t="str">
        <x:f>IF(A19="","",IF(K19=0,"",_xlfn.MAXIFS(Sales!$B$6:$B$505,Sales!$C$6:$C$505,A19,Sales!$K$6:$K$505,"Completed")))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t="str">
        <x:f>IF(A20="","",COUNTIFS(Sales!$C$6:$C$505,A20,Sales!$K$6:$K$505,"Completed"))</x:f>
      </x:c>
      <x:c r="L20" t="str">
        <x:f>IF(A20="","",SUMIFS(Sales!$G$6:$G$505,Sales!$C$6:$C$505,A20,Sales!$K$6:$K$505,"Completed"))</x:f>
      </x:c>
      <x:c r="M20" s="24" t="str">
        <x:f>IF(A20="","",SUMIFS(Sales!$J$6:$J$505,Sales!$C$6:$C$505,A20,Sales!$K$6:$K$505,"Completed"))</x:f>
      </x:c>
      <x:c r="N20" s="28" t="str">
        <x:f>IF(A20="","",IF(K20=0,"",_xlfn.MAXIFS(Sales!$B$6:$B$505,Sales!$C$6:$C$505,A20,Sales!$K$6:$K$505,"Completed")))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t="str">
        <x:f>IF(A21="","",COUNTIFS(Sales!$C$6:$C$505,A21,Sales!$K$6:$K$505,"Completed"))</x:f>
      </x:c>
      <x:c r="L21" t="str">
        <x:f>IF(A21="","",SUMIFS(Sales!$G$6:$G$505,Sales!$C$6:$C$505,A21,Sales!$K$6:$K$505,"Completed"))</x:f>
      </x:c>
      <x:c r="M21" s="24" t="str">
        <x:f>IF(A21="","",SUMIFS(Sales!$J$6:$J$505,Sales!$C$6:$C$505,A21,Sales!$K$6:$K$505,"Completed"))</x:f>
      </x:c>
      <x:c r="N21" s="28" t="str">
        <x:f>IF(A21="","",IF(K21=0,"",_xlfn.MAXIFS(Sales!$B$6:$B$505,Sales!$C$6:$C$505,A21,Sales!$K$6:$K$505,"Completed")))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t="str">
        <x:f>IF(A22="","",COUNTIFS(Sales!$C$6:$C$505,A22,Sales!$K$6:$K$505,"Completed"))</x:f>
      </x:c>
      <x:c r="L22" t="str">
        <x:f>IF(A22="","",SUMIFS(Sales!$G$6:$G$505,Sales!$C$6:$C$505,A22,Sales!$K$6:$K$505,"Completed"))</x:f>
      </x:c>
      <x:c r="M22" s="24" t="str">
        <x:f>IF(A22="","",SUMIFS(Sales!$J$6:$J$505,Sales!$C$6:$C$505,A22,Sales!$K$6:$K$505,"Completed"))</x:f>
      </x:c>
      <x:c r="N22" s="28" t="str">
        <x:f>IF(A22="","",IF(K22=0,"",_xlfn.MAXIFS(Sales!$B$6:$B$505,Sales!$C$6:$C$505,A22,Sales!$K$6:$K$505,"Completed")))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t="str">
        <x:f>IF(A23="","",COUNTIFS(Sales!$C$6:$C$505,A23,Sales!$K$6:$K$505,"Completed"))</x:f>
      </x:c>
      <x:c r="L23" t="str">
        <x:f>IF(A23="","",SUMIFS(Sales!$G$6:$G$505,Sales!$C$6:$C$505,A23,Sales!$K$6:$K$505,"Completed"))</x:f>
      </x:c>
      <x:c r="M23" s="24" t="str">
        <x:f>IF(A23="","",SUMIFS(Sales!$J$6:$J$505,Sales!$C$6:$C$505,A23,Sales!$K$6:$K$505,"Completed"))</x:f>
      </x:c>
      <x:c r="N23" s="28" t="str">
        <x:f>IF(A23="","",IF(K23=0,"",_xlfn.MAXIFS(Sales!$B$6:$B$505,Sales!$C$6:$C$505,A23,Sales!$K$6:$K$505,"Completed")))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t="str">
        <x:f>IF(A24="","",COUNTIFS(Sales!$C$6:$C$505,A24,Sales!$K$6:$K$505,"Completed"))</x:f>
      </x:c>
      <x:c r="L24" t="str">
        <x:f>IF(A24="","",SUMIFS(Sales!$G$6:$G$505,Sales!$C$6:$C$505,A24,Sales!$K$6:$K$505,"Completed"))</x:f>
      </x:c>
      <x:c r="M24" s="24" t="str">
        <x:f>IF(A24="","",SUMIFS(Sales!$J$6:$J$505,Sales!$C$6:$C$505,A24,Sales!$K$6:$K$505,"Completed"))</x:f>
      </x:c>
      <x:c r="N24" s="28" t="str">
        <x:f>IF(A24="","",IF(K24=0,"",_xlfn.MAXIFS(Sales!$B$6:$B$505,Sales!$C$6:$C$505,A24,Sales!$K$6:$K$505,"Completed")))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t="str">
        <x:f>IF(A25="","",COUNTIFS(Sales!$C$6:$C$505,A25,Sales!$K$6:$K$505,"Completed"))</x:f>
      </x:c>
      <x:c r="L25" t="str">
        <x:f>IF(A25="","",SUMIFS(Sales!$G$6:$G$505,Sales!$C$6:$C$505,A25,Sales!$K$6:$K$505,"Completed"))</x:f>
      </x:c>
      <x:c r="M25" s="24" t="str">
        <x:f>IF(A25="","",SUMIFS(Sales!$J$6:$J$505,Sales!$C$6:$C$505,A25,Sales!$K$6:$K$505,"Completed"))</x:f>
      </x:c>
      <x:c r="N25" s="28" t="str">
        <x:f>IF(A25="","",IF(K25=0,"",_xlfn.MAXIFS(Sales!$B$6:$B$505,Sales!$C$6:$C$505,A25,Sales!$K$6:$K$505,"Completed")))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t="str">
        <x:f>IF(A26="","",COUNTIFS(Sales!$C$6:$C$505,A26,Sales!$K$6:$K$505,"Completed"))</x:f>
      </x:c>
      <x:c r="L26" t="str">
        <x:f>IF(A26="","",SUMIFS(Sales!$G$6:$G$505,Sales!$C$6:$C$505,A26,Sales!$K$6:$K$505,"Completed"))</x:f>
      </x:c>
      <x:c r="M26" s="24" t="str">
        <x:f>IF(A26="","",SUMIFS(Sales!$J$6:$J$505,Sales!$C$6:$C$505,A26,Sales!$K$6:$K$505,"Completed"))</x:f>
      </x:c>
      <x:c r="N26" s="28" t="str">
        <x:f>IF(A26="","",IF(K26=0,"",_xlfn.MAXIFS(Sales!$B$6:$B$505,Sales!$C$6:$C$505,A26,Sales!$K$6:$K$505,"Completed")))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t="str">
        <x:f>IF(A27="","",COUNTIFS(Sales!$C$6:$C$505,A27,Sales!$K$6:$K$505,"Completed"))</x:f>
      </x:c>
      <x:c r="L27" t="str">
        <x:f>IF(A27="","",SUMIFS(Sales!$G$6:$G$505,Sales!$C$6:$C$505,A27,Sales!$K$6:$K$505,"Completed"))</x:f>
      </x:c>
      <x:c r="M27" s="24" t="str">
        <x:f>IF(A27="","",SUMIFS(Sales!$J$6:$J$505,Sales!$C$6:$C$505,A27,Sales!$K$6:$K$505,"Completed"))</x:f>
      </x:c>
      <x:c r="N27" s="28" t="str">
        <x:f>IF(A27="","",IF(K27=0,"",_xlfn.MAXIFS(Sales!$B$6:$B$505,Sales!$C$6:$C$505,A27,Sales!$K$6:$K$505,"Completed")))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t="str">
        <x:f>IF(A28="","",COUNTIFS(Sales!$C$6:$C$505,A28,Sales!$K$6:$K$505,"Completed"))</x:f>
      </x:c>
      <x:c r="L28" t="str">
        <x:f>IF(A28="","",SUMIFS(Sales!$G$6:$G$505,Sales!$C$6:$C$505,A28,Sales!$K$6:$K$505,"Completed"))</x:f>
      </x:c>
      <x:c r="M28" s="24" t="str">
        <x:f>IF(A28="","",SUMIFS(Sales!$J$6:$J$505,Sales!$C$6:$C$505,A28,Sales!$K$6:$K$505,"Completed"))</x:f>
      </x:c>
      <x:c r="N28" s="28" t="str">
        <x:f>IF(A28="","",IF(K28=0,"",_xlfn.MAXIFS(Sales!$B$6:$B$505,Sales!$C$6:$C$505,A28,Sales!$K$6:$K$505,"Completed")))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t="str">
        <x:f>IF(A29="","",COUNTIFS(Sales!$C$6:$C$505,A29,Sales!$K$6:$K$505,"Completed"))</x:f>
      </x:c>
      <x:c r="L29" t="str">
        <x:f>IF(A29="","",SUMIFS(Sales!$G$6:$G$505,Sales!$C$6:$C$505,A29,Sales!$K$6:$K$505,"Completed"))</x:f>
      </x:c>
      <x:c r="M29" s="24" t="str">
        <x:f>IF(A29="","",SUMIFS(Sales!$J$6:$J$505,Sales!$C$6:$C$505,A29,Sales!$K$6:$K$505,"Completed"))</x:f>
      </x:c>
      <x:c r="N29" s="28" t="str">
        <x:f>IF(A29="","",IF(K29=0,"",_xlfn.MAXIFS(Sales!$B$6:$B$505,Sales!$C$6:$C$505,A29,Sales!$K$6:$K$505,"Completed")))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t="str">
        <x:f>IF(A30="","",COUNTIFS(Sales!$C$6:$C$505,A30,Sales!$K$6:$K$505,"Completed"))</x:f>
      </x:c>
      <x:c r="L30" t="str">
        <x:f>IF(A30="","",SUMIFS(Sales!$G$6:$G$505,Sales!$C$6:$C$505,A30,Sales!$K$6:$K$505,"Completed"))</x:f>
      </x:c>
      <x:c r="M30" s="24" t="str">
        <x:f>IF(A30="","",SUMIFS(Sales!$J$6:$J$505,Sales!$C$6:$C$505,A30,Sales!$K$6:$K$505,"Completed"))</x:f>
      </x:c>
      <x:c r="N30" s="28" t="str">
        <x:f>IF(A30="","",IF(K30=0,"",_xlfn.MAXIFS(Sales!$B$6:$B$505,Sales!$C$6:$C$505,A30,Sales!$K$6:$K$505,"Completed")))</x:f>
      </x:c>
    </x:row>
    <x:row r="31" ht="22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t="str">
        <x:f>IF(A31="","",COUNTIFS(Sales!$C$6:$C$505,A31,Sales!$K$6:$K$505,"Completed"))</x:f>
      </x:c>
      <x:c r="L31" t="str">
        <x:f>IF(A31="","",SUMIFS(Sales!$G$6:$G$505,Sales!$C$6:$C$505,A31,Sales!$K$6:$K$505,"Completed"))</x:f>
      </x:c>
      <x:c r="M31" s="24" t="str">
        <x:f>IF(A31="","",SUMIFS(Sales!$J$6:$J$505,Sales!$C$6:$C$505,A31,Sales!$K$6:$K$505,"Completed"))</x:f>
      </x:c>
      <x:c r="N31" s="28" t="str">
        <x:f>IF(A31="","",IF(K31=0,"",_xlfn.MAXIFS(Sales!$B$6:$B$505,Sales!$C$6:$C$505,A31,Sales!$K$6:$K$505,"Completed")))</x:f>
      </x:c>
    </x:row>
    <x:row r="32" ht="22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t="str">
        <x:f>IF(A32="","",COUNTIFS(Sales!$C$6:$C$505,A32,Sales!$K$6:$K$505,"Completed"))</x:f>
      </x:c>
      <x:c r="L32" t="str">
        <x:f>IF(A32="","",SUMIFS(Sales!$G$6:$G$505,Sales!$C$6:$C$505,A32,Sales!$K$6:$K$505,"Completed"))</x:f>
      </x:c>
      <x:c r="M32" s="24" t="str">
        <x:f>IF(A32="","",SUMIFS(Sales!$J$6:$J$505,Sales!$C$6:$C$505,A32,Sales!$K$6:$K$505,"Completed"))</x:f>
      </x:c>
      <x:c r="N32" s="28" t="str">
        <x:f>IF(A32="","",IF(K32=0,"",_xlfn.MAXIFS(Sales!$B$6:$B$505,Sales!$C$6:$C$505,A32,Sales!$K$6:$K$505,"Completed")))</x:f>
      </x:c>
    </x:row>
    <x:row r="33" ht="22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t="str">
        <x:f>IF(A33="","",COUNTIFS(Sales!$C$6:$C$505,A33,Sales!$K$6:$K$505,"Completed"))</x:f>
      </x:c>
      <x:c r="L33" t="str">
        <x:f>IF(A33="","",SUMIFS(Sales!$G$6:$G$505,Sales!$C$6:$C$505,A33,Sales!$K$6:$K$505,"Completed"))</x:f>
      </x:c>
      <x:c r="M33" s="24" t="str">
        <x:f>IF(A33="","",SUMIFS(Sales!$J$6:$J$505,Sales!$C$6:$C$505,A33,Sales!$K$6:$K$505,"Completed"))</x:f>
      </x:c>
      <x:c r="N33" s="28" t="str">
        <x:f>IF(A33="","",IF(K33=0,"",_xlfn.MAXIFS(Sales!$B$6:$B$505,Sales!$C$6:$C$505,A33,Sales!$K$6:$K$505,"Completed")))</x:f>
      </x:c>
    </x:row>
    <x:row r="34" ht="22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t="str">
        <x:f>IF(A34="","",COUNTIFS(Sales!$C$6:$C$505,A34,Sales!$K$6:$K$505,"Completed"))</x:f>
      </x:c>
      <x:c r="L34" t="str">
        <x:f>IF(A34="","",SUMIFS(Sales!$G$6:$G$505,Sales!$C$6:$C$505,A34,Sales!$K$6:$K$505,"Completed"))</x:f>
      </x:c>
      <x:c r="M34" s="24" t="str">
        <x:f>IF(A34="","",SUMIFS(Sales!$J$6:$J$505,Sales!$C$6:$C$505,A34,Sales!$K$6:$K$505,"Completed"))</x:f>
      </x:c>
      <x:c r="N34" s="28" t="str">
        <x:f>IF(A34="","",IF(K34=0,"",_xlfn.MAXIFS(Sales!$B$6:$B$505,Sales!$C$6:$C$505,A34,Sales!$K$6:$K$505,"Completed")))</x:f>
      </x:c>
    </x:row>
    <x:row r="35" ht="22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t="str">
        <x:f>IF(A35="","",COUNTIFS(Sales!$C$6:$C$505,A35,Sales!$K$6:$K$505,"Completed"))</x:f>
      </x:c>
      <x:c r="L35" t="str">
        <x:f>IF(A35="","",SUMIFS(Sales!$G$6:$G$505,Sales!$C$6:$C$505,A35,Sales!$K$6:$K$505,"Completed"))</x:f>
      </x:c>
      <x:c r="M35" s="24" t="str">
        <x:f>IF(A35="","",SUMIFS(Sales!$J$6:$J$505,Sales!$C$6:$C$505,A35,Sales!$K$6:$K$505,"Completed"))</x:f>
      </x:c>
      <x:c r="N35" s="28" t="str">
        <x:f>IF(A35="","",IF(K35=0,"",_xlfn.MAXIFS(Sales!$B$6:$B$505,Sales!$C$6:$C$505,A35,Sales!$K$6:$K$505,"Completed")))</x:f>
      </x:c>
    </x:row>
    <x:row r="36" ht="22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t="str">
        <x:f>IF(A36="","",COUNTIFS(Sales!$C$6:$C$505,A36,Sales!$K$6:$K$505,"Completed"))</x:f>
      </x:c>
      <x:c r="L36" t="str">
        <x:f>IF(A36="","",SUMIFS(Sales!$G$6:$G$505,Sales!$C$6:$C$505,A36,Sales!$K$6:$K$505,"Completed"))</x:f>
      </x:c>
      <x:c r="M36" s="24" t="str">
        <x:f>IF(A36="","",SUMIFS(Sales!$J$6:$J$505,Sales!$C$6:$C$505,A36,Sales!$K$6:$K$505,"Completed"))</x:f>
      </x:c>
      <x:c r="N36" s="28" t="str">
        <x:f>IF(A36="","",IF(K36=0,"",_xlfn.MAXIFS(Sales!$B$6:$B$505,Sales!$C$6:$C$505,A36,Sales!$K$6:$K$505,"Completed")))</x:f>
      </x:c>
    </x:row>
    <x:row r="37" ht="22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t="str">
        <x:f>IF(A37="","",COUNTIFS(Sales!$C$6:$C$505,A37,Sales!$K$6:$K$505,"Completed"))</x:f>
      </x:c>
      <x:c r="L37" t="str">
        <x:f>IF(A37="","",SUMIFS(Sales!$G$6:$G$505,Sales!$C$6:$C$505,A37,Sales!$K$6:$K$505,"Completed"))</x:f>
      </x:c>
      <x:c r="M37" s="24" t="str">
        <x:f>IF(A37="","",SUMIFS(Sales!$J$6:$J$505,Sales!$C$6:$C$505,A37,Sales!$K$6:$K$505,"Completed"))</x:f>
      </x:c>
      <x:c r="N37" s="28" t="str">
        <x:f>IF(A37="","",IF(K37=0,"",_xlfn.MAXIFS(Sales!$B$6:$B$505,Sales!$C$6:$C$505,A37,Sales!$K$6:$K$505,"Completed")))</x:f>
      </x:c>
    </x:row>
    <x:row r="38" ht="22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t="str">
        <x:f>IF(A38="","",COUNTIFS(Sales!$C$6:$C$505,A38,Sales!$K$6:$K$505,"Completed"))</x:f>
      </x:c>
      <x:c r="L38" t="str">
        <x:f>IF(A38="","",SUMIFS(Sales!$G$6:$G$505,Sales!$C$6:$C$505,A38,Sales!$K$6:$K$505,"Completed"))</x:f>
      </x:c>
      <x:c r="M38" s="24" t="str">
        <x:f>IF(A38="","",SUMIFS(Sales!$J$6:$J$505,Sales!$C$6:$C$505,A38,Sales!$K$6:$K$505,"Completed"))</x:f>
      </x:c>
      <x:c r="N38" s="28" t="str">
        <x:f>IF(A38="","",IF(K38=0,"",_xlfn.MAXIFS(Sales!$B$6:$B$505,Sales!$C$6:$C$505,A38,Sales!$K$6:$K$505,"Completed")))</x:f>
      </x:c>
    </x:row>
    <x:row r="39" ht="22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t="str">
        <x:f>IF(A39="","",COUNTIFS(Sales!$C$6:$C$505,A39,Sales!$K$6:$K$505,"Completed"))</x:f>
      </x:c>
      <x:c r="L39" t="str">
        <x:f>IF(A39="","",SUMIFS(Sales!$G$6:$G$505,Sales!$C$6:$C$505,A39,Sales!$K$6:$K$505,"Completed"))</x:f>
      </x:c>
      <x:c r="M39" s="24" t="str">
        <x:f>IF(A39="","",SUMIFS(Sales!$J$6:$J$505,Sales!$C$6:$C$505,A39,Sales!$K$6:$K$505,"Completed"))</x:f>
      </x:c>
      <x:c r="N39" s="28" t="str">
        <x:f>IF(A39="","",IF(K39=0,"",_xlfn.MAXIFS(Sales!$B$6:$B$505,Sales!$C$6:$C$505,A39,Sales!$K$6:$K$505,"Completed")))</x:f>
      </x:c>
    </x:row>
    <x:row r="40" ht="22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t="str">
        <x:f>IF(A40="","",COUNTIFS(Sales!$C$6:$C$505,A40,Sales!$K$6:$K$505,"Completed"))</x:f>
      </x:c>
      <x:c r="L40" t="str">
        <x:f>IF(A40="","",SUMIFS(Sales!$G$6:$G$505,Sales!$C$6:$C$505,A40,Sales!$K$6:$K$505,"Completed"))</x:f>
      </x:c>
      <x:c r="M40" s="24" t="str">
        <x:f>IF(A40="","",SUMIFS(Sales!$J$6:$J$505,Sales!$C$6:$C$505,A40,Sales!$K$6:$K$505,"Completed"))</x:f>
      </x:c>
      <x:c r="N40" s="28" t="str">
        <x:f>IF(A40="","",IF(K40=0,"",_xlfn.MAXIFS(Sales!$B$6:$B$505,Sales!$C$6:$C$505,A40,Sales!$K$6:$K$505,"Completed")))</x:f>
      </x:c>
    </x:row>
    <x:row r="41" ht="22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t="str">
        <x:f>IF(A41="","",COUNTIFS(Sales!$C$6:$C$505,A41,Sales!$K$6:$K$505,"Completed"))</x:f>
      </x:c>
      <x:c r="L41" t="str">
        <x:f>IF(A41="","",SUMIFS(Sales!$G$6:$G$505,Sales!$C$6:$C$505,A41,Sales!$K$6:$K$505,"Completed"))</x:f>
      </x:c>
      <x:c r="M41" s="24" t="str">
        <x:f>IF(A41="","",SUMIFS(Sales!$J$6:$J$505,Sales!$C$6:$C$505,A41,Sales!$K$6:$K$505,"Completed"))</x:f>
      </x:c>
      <x:c r="N41" s="28" t="str">
        <x:f>IF(A41="","",IF(K41=0,"",_xlfn.MAXIFS(Sales!$B$6:$B$505,Sales!$C$6:$C$505,A41,Sales!$K$6:$K$505,"Completed")))</x:f>
      </x:c>
    </x:row>
    <x:row r="42" ht="22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t="str">
        <x:f>IF(A42="","",COUNTIFS(Sales!$C$6:$C$505,A42,Sales!$K$6:$K$505,"Completed"))</x:f>
      </x:c>
      <x:c r="L42" t="str">
        <x:f>IF(A42="","",SUMIFS(Sales!$G$6:$G$505,Sales!$C$6:$C$505,A42,Sales!$K$6:$K$505,"Completed"))</x:f>
      </x:c>
      <x:c r="M42" s="24" t="str">
        <x:f>IF(A42="","",SUMIFS(Sales!$J$6:$J$505,Sales!$C$6:$C$505,A42,Sales!$K$6:$K$505,"Completed"))</x:f>
      </x:c>
      <x:c r="N42" s="28" t="str">
        <x:f>IF(A42="","",IF(K42=0,"",_xlfn.MAXIFS(Sales!$B$6:$B$505,Sales!$C$6:$C$505,A42,Sales!$K$6:$K$505,"Completed")))</x:f>
      </x:c>
    </x:row>
    <x:row r="43" ht="22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t="str">
        <x:f>IF(A43="","",COUNTIFS(Sales!$C$6:$C$505,A43,Sales!$K$6:$K$505,"Completed"))</x:f>
      </x:c>
      <x:c r="L43" t="str">
        <x:f>IF(A43="","",SUMIFS(Sales!$G$6:$G$505,Sales!$C$6:$C$505,A43,Sales!$K$6:$K$505,"Completed"))</x:f>
      </x:c>
      <x:c r="M43" s="24" t="str">
        <x:f>IF(A43="","",SUMIFS(Sales!$J$6:$J$505,Sales!$C$6:$C$505,A43,Sales!$K$6:$K$505,"Completed"))</x:f>
      </x:c>
      <x:c r="N43" s="28" t="str">
        <x:f>IF(A43="","",IF(K43=0,"",_xlfn.MAXIFS(Sales!$B$6:$B$505,Sales!$C$6:$C$505,A43,Sales!$K$6:$K$505,"Completed")))</x:f>
      </x:c>
    </x:row>
    <x:row r="44" ht="22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t="str">
        <x:f>IF(A44="","",COUNTIFS(Sales!$C$6:$C$505,A44,Sales!$K$6:$K$505,"Completed"))</x:f>
      </x:c>
      <x:c r="L44" t="str">
        <x:f>IF(A44="","",SUMIFS(Sales!$G$6:$G$505,Sales!$C$6:$C$505,A44,Sales!$K$6:$K$505,"Completed"))</x:f>
      </x:c>
      <x:c r="M44" s="24" t="str">
        <x:f>IF(A44="","",SUMIFS(Sales!$J$6:$J$505,Sales!$C$6:$C$505,A44,Sales!$K$6:$K$505,"Completed"))</x:f>
      </x:c>
      <x:c r="N44" s="28" t="str">
        <x:f>IF(A44="","",IF(K44=0,"",_xlfn.MAXIFS(Sales!$B$6:$B$505,Sales!$C$6:$C$505,A44,Sales!$K$6:$K$505,"Completed")))</x:f>
      </x:c>
    </x:row>
    <x:row r="45" ht="22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t="str">
        <x:f>IF(A45="","",COUNTIFS(Sales!$C$6:$C$505,A45,Sales!$K$6:$K$505,"Completed"))</x:f>
      </x:c>
      <x:c r="L45" t="str">
        <x:f>IF(A45="","",SUMIFS(Sales!$G$6:$G$505,Sales!$C$6:$C$505,A45,Sales!$K$6:$K$505,"Completed"))</x:f>
      </x:c>
      <x:c r="M45" s="24" t="str">
        <x:f>IF(A45="","",SUMIFS(Sales!$J$6:$J$505,Sales!$C$6:$C$505,A45,Sales!$K$6:$K$505,"Completed"))</x:f>
      </x:c>
      <x:c r="N45" s="28" t="str">
        <x:f>IF(A45="","",IF(K45=0,"",_xlfn.MAXIFS(Sales!$B$6:$B$505,Sales!$C$6:$C$505,A45,Sales!$K$6:$K$505,"Completed")))</x:f>
      </x:c>
    </x:row>
    <x:row r="46" ht="22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t="str">
        <x:f>IF(A46="","",COUNTIFS(Sales!$C$6:$C$505,A46,Sales!$K$6:$K$505,"Completed"))</x:f>
      </x:c>
      <x:c r="L46" t="str">
        <x:f>IF(A46="","",SUMIFS(Sales!$G$6:$G$505,Sales!$C$6:$C$505,A46,Sales!$K$6:$K$505,"Completed"))</x:f>
      </x:c>
      <x:c r="M46" s="24" t="str">
        <x:f>IF(A46="","",SUMIFS(Sales!$J$6:$J$505,Sales!$C$6:$C$505,A46,Sales!$K$6:$K$505,"Completed"))</x:f>
      </x:c>
      <x:c r="N46" s="28" t="str">
        <x:f>IF(A46="","",IF(K46=0,"",_xlfn.MAXIFS(Sales!$B$6:$B$505,Sales!$C$6:$C$505,A46,Sales!$K$6:$K$505,"Completed")))</x:f>
      </x:c>
    </x:row>
    <x:row r="47" ht="22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t="str">
        <x:f>IF(A47="","",COUNTIFS(Sales!$C$6:$C$505,A47,Sales!$K$6:$K$505,"Completed"))</x:f>
      </x:c>
      <x:c r="L47" t="str">
        <x:f>IF(A47="","",SUMIFS(Sales!$G$6:$G$505,Sales!$C$6:$C$505,A47,Sales!$K$6:$K$505,"Completed"))</x:f>
      </x:c>
      <x:c r="M47" s="24" t="str">
        <x:f>IF(A47="","",SUMIFS(Sales!$J$6:$J$505,Sales!$C$6:$C$505,A47,Sales!$K$6:$K$505,"Completed"))</x:f>
      </x:c>
      <x:c r="N47" s="28" t="str">
        <x:f>IF(A47="","",IF(K47=0,"",_xlfn.MAXIFS(Sales!$B$6:$B$505,Sales!$C$6:$C$505,A47,Sales!$K$6:$K$505,"Completed")))</x:f>
      </x:c>
    </x:row>
    <x:row r="48" ht="22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t="str">
        <x:f>IF(A48="","",COUNTIFS(Sales!$C$6:$C$505,A48,Sales!$K$6:$K$505,"Completed"))</x:f>
      </x:c>
      <x:c r="L48" t="str">
        <x:f>IF(A48="","",SUMIFS(Sales!$G$6:$G$505,Sales!$C$6:$C$505,A48,Sales!$K$6:$K$505,"Completed"))</x:f>
      </x:c>
      <x:c r="M48" s="24" t="str">
        <x:f>IF(A48="","",SUMIFS(Sales!$J$6:$J$505,Sales!$C$6:$C$505,A48,Sales!$K$6:$K$505,"Completed"))</x:f>
      </x:c>
      <x:c r="N48" s="28" t="str">
        <x:f>IF(A48="","",IF(K48=0,"",_xlfn.MAXIFS(Sales!$B$6:$B$505,Sales!$C$6:$C$505,A48,Sales!$K$6:$K$505,"Completed")))</x:f>
      </x:c>
    </x:row>
    <x:row r="49" ht="22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t="str">
        <x:f>IF(A49="","",COUNTIFS(Sales!$C$6:$C$505,A49,Sales!$K$6:$K$505,"Completed"))</x:f>
      </x:c>
      <x:c r="L49" t="str">
        <x:f>IF(A49="","",SUMIFS(Sales!$G$6:$G$505,Sales!$C$6:$C$505,A49,Sales!$K$6:$K$505,"Completed"))</x:f>
      </x:c>
      <x:c r="M49" s="24" t="str">
        <x:f>IF(A49="","",SUMIFS(Sales!$J$6:$J$505,Sales!$C$6:$C$505,A49,Sales!$K$6:$K$505,"Completed"))</x:f>
      </x:c>
      <x:c r="N49" s="28" t="str">
        <x:f>IF(A49="","",IF(K49=0,"",_xlfn.MAXIFS(Sales!$B$6:$B$505,Sales!$C$6:$C$505,A49,Sales!$K$6:$K$505,"Completed")))</x:f>
      </x:c>
    </x:row>
    <x:row r="50" ht="22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t="str">
        <x:f>IF(A50="","",COUNTIFS(Sales!$C$6:$C$505,A50,Sales!$K$6:$K$505,"Completed"))</x:f>
      </x:c>
      <x:c r="L50" t="str">
        <x:f>IF(A50="","",SUMIFS(Sales!$G$6:$G$505,Sales!$C$6:$C$505,A50,Sales!$K$6:$K$505,"Completed"))</x:f>
      </x:c>
      <x:c r="M50" s="24" t="str">
        <x:f>IF(A50="","",SUMIFS(Sales!$J$6:$J$505,Sales!$C$6:$C$505,A50,Sales!$K$6:$K$505,"Completed"))</x:f>
      </x:c>
      <x:c r="N50" s="28" t="str">
        <x:f>IF(A50="","",IF(K50=0,"",_xlfn.MAXIFS(Sales!$B$6:$B$505,Sales!$C$6:$C$505,A50,Sales!$K$6:$K$505,"Completed")))</x:f>
      </x:c>
    </x:row>
    <x:row r="51" ht="22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t="str">
        <x:f>IF(A51="","",COUNTIFS(Sales!$C$6:$C$505,A51,Sales!$K$6:$K$505,"Completed"))</x:f>
      </x:c>
      <x:c r="L51" t="str">
        <x:f>IF(A51="","",SUMIFS(Sales!$G$6:$G$505,Sales!$C$6:$C$505,A51,Sales!$K$6:$K$505,"Completed"))</x:f>
      </x:c>
      <x:c r="M51" s="24" t="str">
        <x:f>IF(A51="","",SUMIFS(Sales!$J$6:$J$505,Sales!$C$6:$C$505,A51,Sales!$K$6:$K$505,"Completed"))</x:f>
      </x:c>
      <x:c r="N51" s="28" t="str">
        <x:f>IF(A51="","",IF(K51=0,"",_xlfn.MAXIFS(Sales!$B$6:$B$505,Sales!$C$6:$C$505,A51,Sales!$K$6:$K$505,"Completed")))</x:f>
      </x:c>
    </x:row>
    <x:row r="52" ht="22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t="str">
        <x:f>IF(A52="","",COUNTIFS(Sales!$C$6:$C$505,A52,Sales!$K$6:$K$505,"Completed"))</x:f>
      </x:c>
      <x:c r="L52" t="str">
        <x:f>IF(A52="","",SUMIFS(Sales!$G$6:$G$505,Sales!$C$6:$C$505,A52,Sales!$K$6:$K$505,"Completed"))</x:f>
      </x:c>
      <x:c r="M52" s="24" t="str">
        <x:f>IF(A52="","",SUMIFS(Sales!$J$6:$J$505,Sales!$C$6:$C$505,A52,Sales!$K$6:$K$505,"Completed"))</x:f>
      </x:c>
      <x:c r="N52" s="28" t="str">
        <x:f>IF(A52="","",IF(K52=0,"",_xlfn.MAXIFS(Sales!$B$6:$B$505,Sales!$C$6:$C$505,A52,Sales!$K$6:$K$505,"Completed")))</x:f>
      </x:c>
    </x:row>
    <x:row r="53" ht="22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t="str">
        <x:f>IF(A53="","",COUNTIFS(Sales!$C$6:$C$505,A53,Sales!$K$6:$K$505,"Completed"))</x:f>
      </x:c>
      <x:c r="L53" t="str">
        <x:f>IF(A53="","",SUMIFS(Sales!$G$6:$G$505,Sales!$C$6:$C$505,A53,Sales!$K$6:$K$505,"Completed"))</x:f>
      </x:c>
      <x:c r="M53" s="24" t="str">
        <x:f>IF(A53="","",SUMIFS(Sales!$J$6:$J$505,Sales!$C$6:$C$505,A53,Sales!$K$6:$K$505,"Completed"))</x:f>
      </x:c>
      <x:c r="N53" s="28" t="str">
        <x:f>IF(A53="","",IF(K53=0,"",_xlfn.MAXIFS(Sales!$B$6:$B$505,Sales!$C$6:$C$505,A53,Sales!$K$6:$K$505,"Completed")))</x:f>
      </x:c>
    </x:row>
    <x:row r="54" ht="22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t="str">
        <x:f>IF(A54="","",COUNTIFS(Sales!$C$6:$C$505,A54,Sales!$K$6:$K$505,"Completed"))</x:f>
      </x:c>
      <x:c r="L54" t="str">
        <x:f>IF(A54="","",SUMIFS(Sales!$G$6:$G$505,Sales!$C$6:$C$505,A54,Sales!$K$6:$K$505,"Completed"))</x:f>
      </x:c>
      <x:c r="M54" s="24" t="str">
        <x:f>IF(A54="","",SUMIFS(Sales!$J$6:$J$505,Sales!$C$6:$C$505,A54,Sales!$K$6:$K$505,"Completed"))</x:f>
      </x:c>
      <x:c r="N54" s="28" t="str">
        <x:f>IF(A54="","",IF(K54=0,"",_xlfn.MAXIFS(Sales!$B$6:$B$505,Sales!$C$6:$C$505,A54,Sales!$K$6:$K$505,"Completed")))</x:f>
      </x:c>
    </x:row>
    <x:row r="55" ht="22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t="str">
        <x:f>IF(A55="","",COUNTIFS(Sales!$C$6:$C$505,A55,Sales!$K$6:$K$505,"Completed"))</x:f>
      </x:c>
      <x:c r="L55" t="str">
        <x:f>IF(A55="","",SUMIFS(Sales!$G$6:$G$505,Sales!$C$6:$C$505,A55,Sales!$K$6:$K$505,"Completed"))</x:f>
      </x:c>
      <x:c r="M55" s="24" t="str">
        <x:f>IF(A55="","",SUMIFS(Sales!$J$6:$J$505,Sales!$C$6:$C$505,A55,Sales!$K$6:$K$505,"Completed"))</x:f>
      </x:c>
      <x:c r="N55" s="28" t="str">
        <x:f>IF(A55="","",IF(K55=0,"",_xlfn.MAXIFS(Sales!$B$6:$B$505,Sales!$C$6:$C$505,A55,Sales!$K$6:$K$505,"Completed")))</x:f>
      </x:c>
    </x:row>
    <x:row r="56" ht="22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t="str">
        <x:f>IF(A56="","",COUNTIFS(Sales!$C$6:$C$505,A56,Sales!$K$6:$K$505,"Completed"))</x:f>
      </x:c>
      <x:c r="L56" t="str">
        <x:f>IF(A56="","",SUMIFS(Sales!$G$6:$G$505,Sales!$C$6:$C$505,A56,Sales!$K$6:$K$505,"Completed"))</x:f>
      </x:c>
      <x:c r="M56" s="24" t="str">
        <x:f>IF(A56="","",SUMIFS(Sales!$J$6:$J$505,Sales!$C$6:$C$505,A56,Sales!$K$6:$K$505,"Completed"))</x:f>
      </x:c>
      <x:c r="N56" s="28" t="str">
        <x:f>IF(A56="","",IF(K56=0,"",_xlfn.MAXIFS(Sales!$B$6:$B$505,Sales!$C$6:$C$505,A56,Sales!$K$6:$K$505,"Completed")))</x:f>
      </x:c>
    </x:row>
    <x:row r="57" ht="22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t="str">
        <x:f>IF(A57="","",COUNTIFS(Sales!$C$6:$C$505,A57,Sales!$K$6:$K$505,"Completed"))</x:f>
      </x:c>
      <x:c r="L57" t="str">
        <x:f>IF(A57="","",SUMIFS(Sales!$G$6:$G$505,Sales!$C$6:$C$505,A57,Sales!$K$6:$K$505,"Completed"))</x:f>
      </x:c>
      <x:c r="M57" s="24" t="str">
        <x:f>IF(A57="","",SUMIFS(Sales!$J$6:$J$505,Sales!$C$6:$C$505,A57,Sales!$K$6:$K$505,"Completed"))</x:f>
      </x:c>
      <x:c r="N57" s="28" t="str">
        <x:f>IF(A57="","",IF(K57=0,"",_xlfn.MAXIFS(Sales!$B$6:$B$505,Sales!$C$6:$C$505,A57,Sales!$K$6:$K$505,"Completed")))</x:f>
      </x:c>
    </x:row>
    <x:row r="58" ht="22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t="str">
        <x:f>IF(A58="","",COUNTIFS(Sales!$C$6:$C$505,A58,Sales!$K$6:$K$505,"Completed"))</x:f>
      </x:c>
      <x:c r="L58" t="str">
        <x:f>IF(A58="","",SUMIFS(Sales!$G$6:$G$505,Sales!$C$6:$C$505,A58,Sales!$K$6:$K$505,"Completed"))</x:f>
      </x:c>
      <x:c r="M58" s="24" t="str">
        <x:f>IF(A58="","",SUMIFS(Sales!$J$6:$J$505,Sales!$C$6:$C$505,A58,Sales!$K$6:$K$505,"Completed"))</x:f>
      </x:c>
      <x:c r="N58" s="28" t="str">
        <x:f>IF(A58="","",IF(K58=0,"",_xlfn.MAXIFS(Sales!$B$6:$B$505,Sales!$C$6:$C$505,A58,Sales!$K$6:$K$505,"Completed")))</x:f>
      </x:c>
    </x:row>
    <x:row r="59" ht="22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t="str">
        <x:f>IF(A59="","",COUNTIFS(Sales!$C$6:$C$505,A59,Sales!$K$6:$K$505,"Completed"))</x:f>
      </x:c>
      <x:c r="L59" t="str">
        <x:f>IF(A59="","",SUMIFS(Sales!$G$6:$G$505,Sales!$C$6:$C$505,A59,Sales!$K$6:$K$505,"Completed"))</x:f>
      </x:c>
      <x:c r="M59" s="24" t="str">
        <x:f>IF(A59="","",SUMIFS(Sales!$J$6:$J$505,Sales!$C$6:$C$505,A59,Sales!$K$6:$K$505,"Completed"))</x:f>
      </x:c>
      <x:c r="N59" s="28" t="str">
        <x:f>IF(A59="","",IF(K59=0,"",_xlfn.MAXIFS(Sales!$B$6:$B$505,Sales!$C$6:$C$505,A59,Sales!$K$6:$K$505,"Completed")))</x:f>
      </x:c>
    </x:row>
    <x:row r="60" ht="22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t="str">
        <x:f>IF(A60="","",COUNTIFS(Sales!$C$6:$C$505,A60,Sales!$K$6:$K$505,"Completed"))</x:f>
      </x:c>
      <x:c r="L60" t="str">
        <x:f>IF(A60="","",SUMIFS(Sales!$G$6:$G$505,Sales!$C$6:$C$505,A60,Sales!$K$6:$K$505,"Completed"))</x:f>
      </x:c>
      <x:c r="M60" s="24" t="str">
        <x:f>IF(A60="","",SUMIFS(Sales!$J$6:$J$505,Sales!$C$6:$C$505,A60,Sales!$K$6:$K$505,"Completed"))</x:f>
      </x:c>
      <x:c r="N60" s="28" t="str">
        <x:f>IF(A60="","",IF(K60=0,"",_xlfn.MAXIFS(Sales!$B$6:$B$505,Sales!$C$6:$C$505,A60,Sales!$K$6:$K$505,"Completed")))</x:f>
      </x:c>
    </x:row>
    <x:row r="61" ht="22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t="str">
        <x:f>IF(A61="","",COUNTIFS(Sales!$C$6:$C$505,A61,Sales!$K$6:$K$505,"Completed"))</x:f>
      </x:c>
      <x:c r="L61" t="str">
        <x:f>IF(A61="","",SUMIFS(Sales!$G$6:$G$505,Sales!$C$6:$C$505,A61,Sales!$K$6:$K$505,"Completed"))</x:f>
      </x:c>
      <x:c r="M61" s="24" t="str">
        <x:f>IF(A61="","",SUMIFS(Sales!$J$6:$J$505,Sales!$C$6:$C$505,A61,Sales!$K$6:$K$505,"Completed"))</x:f>
      </x:c>
      <x:c r="N61" s="28" t="str">
        <x:f>IF(A61="","",IF(K61=0,"",_xlfn.MAXIFS(Sales!$B$6:$B$505,Sales!$C$6:$C$505,A61,Sales!$K$6:$K$505,"Completed")))</x:f>
      </x:c>
    </x:row>
    <x:row r="62" ht="22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t="str">
        <x:f>IF(A62="","",COUNTIFS(Sales!$C$6:$C$505,A62,Sales!$K$6:$K$505,"Completed"))</x:f>
      </x:c>
      <x:c r="L62" t="str">
        <x:f>IF(A62="","",SUMIFS(Sales!$G$6:$G$505,Sales!$C$6:$C$505,A62,Sales!$K$6:$K$505,"Completed"))</x:f>
      </x:c>
      <x:c r="M62" s="24" t="str">
        <x:f>IF(A62="","",SUMIFS(Sales!$J$6:$J$505,Sales!$C$6:$C$505,A62,Sales!$K$6:$K$505,"Completed"))</x:f>
      </x:c>
      <x:c r="N62" s="28" t="str">
        <x:f>IF(A62="","",IF(K62=0,"",_xlfn.MAXIFS(Sales!$B$6:$B$505,Sales!$C$6:$C$505,A62,Sales!$K$6:$K$505,"Completed")))</x:f>
      </x:c>
    </x:row>
    <x:row r="63" ht="22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t="str">
        <x:f>IF(A63="","",COUNTIFS(Sales!$C$6:$C$505,A63,Sales!$K$6:$K$505,"Completed"))</x:f>
      </x:c>
      <x:c r="L63" t="str">
        <x:f>IF(A63="","",SUMIFS(Sales!$G$6:$G$505,Sales!$C$6:$C$505,A63,Sales!$K$6:$K$505,"Completed"))</x:f>
      </x:c>
      <x:c r="M63" s="24" t="str">
        <x:f>IF(A63="","",SUMIFS(Sales!$J$6:$J$505,Sales!$C$6:$C$505,A63,Sales!$K$6:$K$505,"Completed"))</x:f>
      </x:c>
      <x:c r="N63" s="28" t="str">
        <x:f>IF(A63="","",IF(K63=0,"",_xlfn.MAXIFS(Sales!$B$6:$B$505,Sales!$C$6:$C$505,A63,Sales!$K$6:$K$505,"Completed")))</x:f>
      </x:c>
    </x:row>
    <x:row r="64" ht="22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t="str">
        <x:f>IF(A64="","",COUNTIFS(Sales!$C$6:$C$505,A64,Sales!$K$6:$K$505,"Completed"))</x:f>
      </x:c>
      <x:c r="L64" t="str">
        <x:f>IF(A64="","",SUMIFS(Sales!$G$6:$G$505,Sales!$C$6:$C$505,A64,Sales!$K$6:$K$505,"Completed"))</x:f>
      </x:c>
      <x:c r="M64" s="24" t="str">
        <x:f>IF(A64="","",SUMIFS(Sales!$J$6:$J$505,Sales!$C$6:$C$505,A64,Sales!$K$6:$K$505,"Completed"))</x:f>
      </x:c>
      <x:c r="N64" s="28" t="str">
        <x:f>IF(A64="","",IF(K64=0,"",_xlfn.MAXIFS(Sales!$B$6:$B$505,Sales!$C$6:$C$505,A64,Sales!$K$6:$K$505,"Completed")))</x:f>
      </x:c>
    </x:row>
    <x:row r="65" ht="22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t="str">
        <x:f>IF(A65="","",COUNTIFS(Sales!$C$6:$C$505,A65,Sales!$K$6:$K$505,"Completed"))</x:f>
      </x:c>
      <x:c r="L65" t="str">
        <x:f>IF(A65="","",SUMIFS(Sales!$G$6:$G$505,Sales!$C$6:$C$505,A65,Sales!$K$6:$K$505,"Completed"))</x:f>
      </x:c>
      <x:c r="M65" s="24" t="str">
        <x:f>IF(A65="","",SUMIFS(Sales!$J$6:$J$505,Sales!$C$6:$C$505,A65,Sales!$K$6:$K$505,"Completed"))</x:f>
      </x:c>
      <x:c r="N65" s="28" t="str">
        <x:f>IF(A65="","",IF(K65=0,"",_xlfn.MAXIFS(Sales!$B$6:$B$505,Sales!$C$6:$C$505,A65,Sales!$K$6:$K$505,"Completed")))</x:f>
      </x:c>
    </x:row>
    <x:row r="66" ht="22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t="str">
        <x:f>IF(A66="","",COUNTIFS(Sales!$C$6:$C$505,A66,Sales!$K$6:$K$505,"Completed"))</x:f>
      </x:c>
      <x:c r="L66" t="str">
        <x:f>IF(A66="","",SUMIFS(Sales!$G$6:$G$505,Sales!$C$6:$C$505,A66,Sales!$K$6:$K$505,"Completed"))</x:f>
      </x:c>
      <x:c r="M66" s="24" t="str">
        <x:f>IF(A66="","",SUMIFS(Sales!$J$6:$J$505,Sales!$C$6:$C$505,A66,Sales!$K$6:$K$505,"Completed"))</x:f>
      </x:c>
      <x:c r="N66" s="28" t="str">
        <x:f>IF(A66="","",IF(K66=0,"",_xlfn.MAXIFS(Sales!$B$6:$B$505,Sales!$C$6:$C$505,A66,Sales!$K$6:$K$505,"Completed")))</x:f>
      </x:c>
    </x:row>
    <x:row r="67" ht="22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t="str">
        <x:f>IF(A67="","",COUNTIFS(Sales!$C$6:$C$505,A67,Sales!$K$6:$K$505,"Completed"))</x:f>
      </x:c>
      <x:c r="L67" t="str">
        <x:f>IF(A67="","",SUMIFS(Sales!$G$6:$G$505,Sales!$C$6:$C$505,A67,Sales!$K$6:$K$505,"Completed"))</x:f>
      </x:c>
      <x:c r="M67" s="24" t="str">
        <x:f>IF(A67="","",SUMIFS(Sales!$J$6:$J$505,Sales!$C$6:$C$505,A67,Sales!$K$6:$K$505,"Completed"))</x:f>
      </x:c>
      <x:c r="N67" s="28" t="str">
        <x:f>IF(A67="","",IF(K67=0,"",_xlfn.MAXIFS(Sales!$B$6:$B$505,Sales!$C$6:$C$505,A67,Sales!$K$6:$K$505,"Completed")))</x:f>
      </x:c>
    </x:row>
    <x:row r="68" ht="22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t="str">
        <x:f>IF(A68="","",COUNTIFS(Sales!$C$6:$C$505,A68,Sales!$K$6:$K$505,"Completed"))</x:f>
      </x:c>
      <x:c r="L68" t="str">
        <x:f>IF(A68="","",SUMIFS(Sales!$G$6:$G$505,Sales!$C$6:$C$505,A68,Sales!$K$6:$K$505,"Completed"))</x:f>
      </x:c>
      <x:c r="M68" s="24" t="str">
        <x:f>IF(A68="","",SUMIFS(Sales!$J$6:$J$505,Sales!$C$6:$C$505,A68,Sales!$K$6:$K$505,"Completed"))</x:f>
      </x:c>
      <x:c r="N68" s="28" t="str">
        <x:f>IF(A68="","",IF(K68=0,"",_xlfn.MAXIFS(Sales!$B$6:$B$505,Sales!$C$6:$C$505,A68,Sales!$K$6:$K$505,"Completed")))</x:f>
      </x:c>
    </x:row>
    <x:row r="69" ht="22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t="str">
        <x:f>IF(A69="","",COUNTIFS(Sales!$C$6:$C$505,A69,Sales!$K$6:$K$505,"Completed"))</x:f>
      </x:c>
      <x:c r="L69" t="str">
        <x:f>IF(A69="","",SUMIFS(Sales!$G$6:$G$505,Sales!$C$6:$C$505,A69,Sales!$K$6:$K$505,"Completed"))</x:f>
      </x:c>
      <x:c r="M69" s="24" t="str">
        <x:f>IF(A69="","",SUMIFS(Sales!$J$6:$J$505,Sales!$C$6:$C$505,A69,Sales!$K$6:$K$505,"Completed"))</x:f>
      </x:c>
      <x:c r="N69" s="28" t="str">
        <x:f>IF(A69="","",IF(K69=0,"",_xlfn.MAXIFS(Sales!$B$6:$B$505,Sales!$C$6:$C$505,A69,Sales!$K$6:$K$505,"Completed")))</x:f>
      </x:c>
    </x:row>
    <x:row r="70" ht="22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t="str">
        <x:f>IF(A70="","",COUNTIFS(Sales!$C$6:$C$505,A70,Sales!$K$6:$K$505,"Completed"))</x:f>
      </x:c>
      <x:c r="L70" t="str">
        <x:f>IF(A70="","",SUMIFS(Sales!$G$6:$G$505,Sales!$C$6:$C$505,A70,Sales!$K$6:$K$505,"Completed"))</x:f>
      </x:c>
      <x:c r="M70" s="24" t="str">
        <x:f>IF(A70="","",SUMIFS(Sales!$J$6:$J$505,Sales!$C$6:$C$505,A70,Sales!$K$6:$K$505,"Completed"))</x:f>
      </x:c>
      <x:c r="N70" s="28" t="str">
        <x:f>IF(A70="","",IF(K70=0,"",_xlfn.MAXIFS(Sales!$B$6:$B$505,Sales!$C$6:$C$505,A70,Sales!$K$6:$K$505,"Completed")))</x:f>
      </x:c>
    </x:row>
    <x:row r="71" ht="22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t="str">
        <x:f>IF(A71="","",COUNTIFS(Sales!$C$6:$C$505,A71,Sales!$K$6:$K$505,"Completed"))</x:f>
      </x:c>
      <x:c r="L71" t="str">
        <x:f>IF(A71="","",SUMIFS(Sales!$G$6:$G$505,Sales!$C$6:$C$505,A71,Sales!$K$6:$K$505,"Completed"))</x:f>
      </x:c>
      <x:c r="M71" s="24" t="str">
        <x:f>IF(A71="","",SUMIFS(Sales!$J$6:$J$505,Sales!$C$6:$C$505,A71,Sales!$K$6:$K$505,"Completed"))</x:f>
      </x:c>
      <x:c r="N71" s="28" t="str">
        <x:f>IF(A71="","",IF(K71=0,"",_xlfn.MAXIFS(Sales!$B$6:$B$505,Sales!$C$6:$C$505,A71,Sales!$K$6:$K$505,"Completed")))</x:f>
      </x:c>
    </x:row>
    <x:row r="72" ht="22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t="str">
        <x:f>IF(A72="","",COUNTIFS(Sales!$C$6:$C$505,A72,Sales!$K$6:$K$505,"Completed"))</x:f>
      </x:c>
      <x:c r="L72" t="str">
        <x:f>IF(A72="","",SUMIFS(Sales!$G$6:$G$505,Sales!$C$6:$C$505,A72,Sales!$K$6:$K$505,"Completed"))</x:f>
      </x:c>
      <x:c r="M72" s="24" t="str">
        <x:f>IF(A72="","",SUMIFS(Sales!$J$6:$J$505,Sales!$C$6:$C$505,A72,Sales!$K$6:$K$505,"Completed"))</x:f>
      </x:c>
      <x:c r="N72" s="28" t="str">
        <x:f>IF(A72="","",IF(K72=0,"",_xlfn.MAXIFS(Sales!$B$6:$B$505,Sales!$C$6:$C$505,A72,Sales!$K$6:$K$505,"Completed")))</x:f>
      </x:c>
    </x:row>
    <x:row r="73" ht="22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t="str">
        <x:f>IF(A73="","",COUNTIFS(Sales!$C$6:$C$505,A73,Sales!$K$6:$K$505,"Completed"))</x:f>
      </x:c>
      <x:c r="L73" t="str">
        <x:f>IF(A73="","",SUMIFS(Sales!$G$6:$G$505,Sales!$C$6:$C$505,A73,Sales!$K$6:$K$505,"Completed"))</x:f>
      </x:c>
      <x:c r="M73" s="24" t="str">
        <x:f>IF(A73="","",SUMIFS(Sales!$J$6:$J$505,Sales!$C$6:$C$505,A73,Sales!$K$6:$K$505,"Completed"))</x:f>
      </x:c>
      <x:c r="N73" s="28" t="str">
        <x:f>IF(A73="","",IF(K73=0,"",_xlfn.MAXIFS(Sales!$B$6:$B$505,Sales!$C$6:$C$505,A73,Sales!$K$6:$K$505,"Completed")))</x:f>
      </x:c>
    </x:row>
    <x:row r="74" ht="22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t="str">
        <x:f>IF(A74="","",COUNTIFS(Sales!$C$6:$C$505,A74,Sales!$K$6:$K$505,"Completed"))</x:f>
      </x:c>
      <x:c r="L74" t="str">
        <x:f>IF(A74="","",SUMIFS(Sales!$G$6:$G$505,Sales!$C$6:$C$505,A74,Sales!$K$6:$K$505,"Completed"))</x:f>
      </x:c>
      <x:c r="M74" s="24" t="str">
        <x:f>IF(A74="","",SUMIFS(Sales!$J$6:$J$505,Sales!$C$6:$C$505,A74,Sales!$K$6:$K$505,"Completed"))</x:f>
      </x:c>
      <x:c r="N74" s="28" t="str">
        <x:f>IF(A74="","",IF(K74=0,"",_xlfn.MAXIFS(Sales!$B$6:$B$505,Sales!$C$6:$C$505,A74,Sales!$K$6:$K$505,"Completed")))</x:f>
      </x:c>
    </x:row>
    <x:row r="75" ht="22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t="str">
        <x:f>IF(A75="","",COUNTIFS(Sales!$C$6:$C$505,A75,Sales!$K$6:$K$505,"Completed"))</x:f>
      </x:c>
      <x:c r="L75" t="str">
        <x:f>IF(A75="","",SUMIFS(Sales!$G$6:$G$505,Sales!$C$6:$C$505,A75,Sales!$K$6:$K$505,"Completed"))</x:f>
      </x:c>
      <x:c r="M75" s="24" t="str">
        <x:f>IF(A75="","",SUMIFS(Sales!$J$6:$J$505,Sales!$C$6:$C$505,A75,Sales!$K$6:$K$505,"Completed"))</x:f>
      </x:c>
      <x:c r="N75" s="28" t="str">
        <x:f>IF(A75="","",IF(K75=0,"",_xlfn.MAXIFS(Sales!$B$6:$B$505,Sales!$C$6:$C$505,A75,Sales!$K$6:$K$505,"Completed")))</x:f>
      </x:c>
    </x:row>
    <x:row r="76" ht="22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t="str">
        <x:f>IF(A76="","",COUNTIFS(Sales!$C$6:$C$505,A76,Sales!$K$6:$K$505,"Completed"))</x:f>
      </x:c>
      <x:c r="L76" t="str">
        <x:f>IF(A76="","",SUMIFS(Sales!$G$6:$G$505,Sales!$C$6:$C$505,A76,Sales!$K$6:$K$505,"Completed"))</x:f>
      </x:c>
      <x:c r="M76" s="24" t="str">
        <x:f>IF(A76="","",SUMIFS(Sales!$J$6:$J$505,Sales!$C$6:$C$505,A76,Sales!$K$6:$K$505,"Completed"))</x:f>
      </x:c>
      <x:c r="N76" s="28" t="str">
        <x:f>IF(A76="","",IF(K76=0,"",_xlfn.MAXIFS(Sales!$B$6:$B$505,Sales!$C$6:$C$505,A76,Sales!$K$6:$K$505,"Completed")))</x:f>
      </x:c>
    </x:row>
    <x:row r="77" ht="22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t="str">
        <x:f>IF(A77="","",COUNTIFS(Sales!$C$6:$C$505,A77,Sales!$K$6:$K$505,"Completed"))</x:f>
      </x:c>
      <x:c r="L77" t="str">
        <x:f>IF(A77="","",SUMIFS(Sales!$G$6:$G$505,Sales!$C$6:$C$505,A77,Sales!$K$6:$K$505,"Completed"))</x:f>
      </x:c>
      <x:c r="M77" s="24" t="str">
        <x:f>IF(A77="","",SUMIFS(Sales!$J$6:$J$505,Sales!$C$6:$C$505,A77,Sales!$K$6:$K$505,"Completed"))</x:f>
      </x:c>
      <x:c r="N77" s="28" t="str">
        <x:f>IF(A77="","",IF(K77=0,"",_xlfn.MAXIFS(Sales!$B$6:$B$505,Sales!$C$6:$C$505,A77,Sales!$K$6:$K$505,"Completed")))</x:f>
      </x:c>
    </x:row>
    <x:row r="78" ht="22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t="str">
        <x:f>IF(A78="","",COUNTIFS(Sales!$C$6:$C$505,A78,Sales!$K$6:$K$505,"Completed"))</x:f>
      </x:c>
      <x:c r="L78" t="str">
        <x:f>IF(A78="","",SUMIFS(Sales!$G$6:$G$505,Sales!$C$6:$C$505,A78,Sales!$K$6:$K$505,"Completed"))</x:f>
      </x:c>
      <x:c r="M78" s="24" t="str">
        <x:f>IF(A78="","",SUMIFS(Sales!$J$6:$J$505,Sales!$C$6:$C$505,A78,Sales!$K$6:$K$505,"Completed"))</x:f>
      </x:c>
      <x:c r="N78" s="28" t="str">
        <x:f>IF(A78="","",IF(K78=0,"",_xlfn.MAXIFS(Sales!$B$6:$B$505,Sales!$C$6:$C$505,A78,Sales!$K$6:$K$505,"Completed")))</x:f>
      </x:c>
    </x:row>
    <x:row r="79" ht="22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t="str">
        <x:f>IF(A79="","",COUNTIFS(Sales!$C$6:$C$505,A79,Sales!$K$6:$K$505,"Completed"))</x:f>
      </x:c>
      <x:c r="L79" t="str">
        <x:f>IF(A79="","",SUMIFS(Sales!$G$6:$G$505,Sales!$C$6:$C$505,A79,Sales!$K$6:$K$505,"Completed"))</x:f>
      </x:c>
      <x:c r="M79" s="24" t="str">
        <x:f>IF(A79="","",SUMIFS(Sales!$J$6:$J$505,Sales!$C$6:$C$505,A79,Sales!$K$6:$K$505,"Completed"))</x:f>
      </x:c>
      <x:c r="N79" s="28" t="str">
        <x:f>IF(A79="","",IF(K79=0,"",_xlfn.MAXIFS(Sales!$B$6:$B$505,Sales!$C$6:$C$505,A79,Sales!$K$6:$K$505,"Completed")))</x:f>
      </x:c>
    </x:row>
    <x:row r="80" ht="22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t="str">
        <x:f>IF(A80="","",COUNTIFS(Sales!$C$6:$C$505,A80,Sales!$K$6:$K$505,"Completed"))</x:f>
      </x:c>
      <x:c r="L80" t="str">
        <x:f>IF(A80="","",SUMIFS(Sales!$G$6:$G$505,Sales!$C$6:$C$505,A80,Sales!$K$6:$K$505,"Completed"))</x:f>
      </x:c>
      <x:c r="M80" s="24" t="str">
        <x:f>IF(A80="","",SUMIFS(Sales!$J$6:$J$505,Sales!$C$6:$C$505,A80,Sales!$K$6:$K$505,"Completed"))</x:f>
      </x:c>
      <x:c r="N80" s="28" t="str">
        <x:f>IF(A80="","",IF(K80=0,"",_xlfn.MAXIFS(Sales!$B$6:$B$505,Sales!$C$6:$C$505,A80,Sales!$K$6:$K$505,"Completed")))</x:f>
      </x:c>
    </x:row>
    <x:row r="81" ht="22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t="str">
        <x:f>IF(A81="","",COUNTIFS(Sales!$C$6:$C$505,A81,Sales!$K$6:$K$505,"Completed"))</x:f>
      </x:c>
      <x:c r="L81" t="str">
        <x:f>IF(A81="","",SUMIFS(Sales!$G$6:$G$505,Sales!$C$6:$C$505,A81,Sales!$K$6:$K$505,"Completed"))</x:f>
      </x:c>
      <x:c r="M81" s="24" t="str">
        <x:f>IF(A81="","",SUMIFS(Sales!$J$6:$J$505,Sales!$C$6:$C$505,A81,Sales!$K$6:$K$505,"Completed"))</x:f>
      </x:c>
      <x:c r="N81" s="28" t="str">
        <x:f>IF(A81="","",IF(K81=0,"",_xlfn.MAXIFS(Sales!$B$6:$B$505,Sales!$C$6:$C$505,A81,Sales!$K$6:$K$505,"Completed")))</x:f>
      </x:c>
    </x:row>
    <x:row r="82" ht="22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t="str">
        <x:f>IF(A82="","",COUNTIFS(Sales!$C$6:$C$505,A82,Sales!$K$6:$K$505,"Completed"))</x:f>
      </x:c>
      <x:c r="L82" t="str">
        <x:f>IF(A82="","",SUMIFS(Sales!$G$6:$G$505,Sales!$C$6:$C$505,A82,Sales!$K$6:$K$505,"Completed"))</x:f>
      </x:c>
      <x:c r="M82" s="24" t="str">
        <x:f>IF(A82="","",SUMIFS(Sales!$J$6:$J$505,Sales!$C$6:$C$505,A82,Sales!$K$6:$K$505,"Completed"))</x:f>
      </x:c>
      <x:c r="N82" s="28" t="str">
        <x:f>IF(A82="","",IF(K82=0,"",_xlfn.MAXIFS(Sales!$B$6:$B$505,Sales!$C$6:$C$505,A82,Sales!$K$6:$K$505,"Completed")))</x:f>
      </x:c>
    </x:row>
    <x:row r="83" ht="22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t="str">
        <x:f>IF(A83="","",COUNTIFS(Sales!$C$6:$C$505,A83,Sales!$K$6:$K$505,"Completed"))</x:f>
      </x:c>
      <x:c r="L83" t="str">
        <x:f>IF(A83="","",SUMIFS(Sales!$G$6:$G$505,Sales!$C$6:$C$505,A83,Sales!$K$6:$K$505,"Completed"))</x:f>
      </x:c>
      <x:c r="M83" s="24" t="str">
        <x:f>IF(A83="","",SUMIFS(Sales!$J$6:$J$505,Sales!$C$6:$C$505,A83,Sales!$K$6:$K$505,"Completed"))</x:f>
      </x:c>
      <x:c r="N83" s="28" t="str">
        <x:f>IF(A83="","",IF(K83=0,"",_xlfn.MAXIFS(Sales!$B$6:$B$505,Sales!$C$6:$C$505,A83,Sales!$K$6:$K$505,"Completed")))</x:f>
      </x:c>
    </x:row>
    <x:row r="84" ht="22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t="str">
        <x:f>IF(A84="","",COUNTIFS(Sales!$C$6:$C$505,A84,Sales!$K$6:$K$505,"Completed"))</x:f>
      </x:c>
      <x:c r="L84" t="str">
        <x:f>IF(A84="","",SUMIFS(Sales!$G$6:$G$505,Sales!$C$6:$C$505,A84,Sales!$K$6:$K$505,"Completed"))</x:f>
      </x:c>
      <x:c r="M84" s="24" t="str">
        <x:f>IF(A84="","",SUMIFS(Sales!$J$6:$J$505,Sales!$C$6:$C$505,A84,Sales!$K$6:$K$505,"Completed"))</x:f>
      </x:c>
      <x:c r="N84" s="28" t="str">
        <x:f>IF(A84="","",IF(K84=0,"",_xlfn.MAXIFS(Sales!$B$6:$B$505,Sales!$C$6:$C$505,A84,Sales!$K$6:$K$505,"Completed")))</x:f>
      </x:c>
    </x:row>
    <x:row r="85" ht="22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t="str">
        <x:f>IF(A85="","",COUNTIFS(Sales!$C$6:$C$505,A85,Sales!$K$6:$K$505,"Completed"))</x:f>
      </x:c>
      <x:c r="L85" t="str">
        <x:f>IF(A85="","",SUMIFS(Sales!$G$6:$G$505,Sales!$C$6:$C$505,A85,Sales!$K$6:$K$505,"Completed"))</x:f>
      </x:c>
      <x:c r="M85" s="24" t="str">
        <x:f>IF(A85="","",SUMIFS(Sales!$J$6:$J$505,Sales!$C$6:$C$505,A85,Sales!$K$6:$K$505,"Completed"))</x:f>
      </x:c>
      <x:c r="N85" s="28" t="str">
        <x:f>IF(A85="","",IF(K85=0,"",_xlfn.MAXIFS(Sales!$B$6:$B$505,Sales!$C$6:$C$505,A85,Sales!$K$6:$K$505,"Completed")))</x:f>
      </x:c>
    </x:row>
    <x:row r="86" ht="22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t="str">
        <x:f>IF(A86="","",COUNTIFS(Sales!$C$6:$C$505,A86,Sales!$K$6:$K$505,"Completed"))</x:f>
      </x:c>
      <x:c r="L86" t="str">
        <x:f>IF(A86="","",SUMIFS(Sales!$G$6:$G$505,Sales!$C$6:$C$505,A86,Sales!$K$6:$K$505,"Completed"))</x:f>
      </x:c>
      <x:c r="M86" s="24" t="str">
        <x:f>IF(A86="","",SUMIFS(Sales!$J$6:$J$505,Sales!$C$6:$C$505,A86,Sales!$K$6:$K$505,"Completed"))</x:f>
      </x:c>
      <x:c r="N86" s="28" t="str">
        <x:f>IF(A86="","",IF(K86=0,"",_xlfn.MAXIFS(Sales!$B$6:$B$505,Sales!$C$6:$C$505,A86,Sales!$K$6:$K$505,"Completed")))</x:f>
      </x:c>
    </x:row>
    <x:row r="87" ht="22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t="str">
        <x:f>IF(A87="","",COUNTIFS(Sales!$C$6:$C$505,A87,Sales!$K$6:$K$505,"Completed"))</x:f>
      </x:c>
      <x:c r="L87" t="str">
        <x:f>IF(A87="","",SUMIFS(Sales!$G$6:$G$505,Sales!$C$6:$C$505,A87,Sales!$K$6:$K$505,"Completed"))</x:f>
      </x:c>
      <x:c r="M87" s="24" t="str">
        <x:f>IF(A87="","",SUMIFS(Sales!$J$6:$J$505,Sales!$C$6:$C$505,A87,Sales!$K$6:$K$505,"Completed"))</x:f>
      </x:c>
      <x:c r="N87" s="28" t="str">
        <x:f>IF(A87="","",IF(K87=0,"",_xlfn.MAXIFS(Sales!$B$6:$B$505,Sales!$C$6:$C$505,A87,Sales!$K$6:$K$505,"Completed")))</x:f>
      </x:c>
    </x:row>
    <x:row r="88" ht="22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t="str">
        <x:f>IF(A88="","",COUNTIFS(Sales!$C$6:$C$505,A88,Sales!$K$6:$K$505,"Completed"))</x:f>
      </x:c>
      <x:c r="L88" t="str">
        <x:f>IF(A88="","",SUMIFS(Sales!$G$6:$G$505,Sales!$C$6:$C$505,A88,Sales!$K$6:$K$505,"Completed"))</x:f>
      </x:c>
      <x:c r="M88" s="24" t="str">
        <x:f>IF(A88="","",SUMIFS(Sales!$J$6:$J$505,Sales!$C$6:$C$505,A88,Sales!$K$6:$K$505,"Completed"))</x:f>
      </x:c>
      <x:c r="N88" s="28" t="str">
        <x:f>IF(A88="","",IF(K88=0,"",_xlfn.MAXIFS(Sales!$B$6:$B$505,Sales!$C$6:$C$505,A88,Sales!$K$6:$K$505,"Completed")))</x:f>
      </x:c>
    </x:row>
    <x:row r="89" ht="22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t="str">
        <x:f>IF(A89="","",COUNTIFS(Sales!$C$6:$C$505,A89,Sales!$K$6:$K$505,"Completed"))</x:f>
      </x:c>
      <x:c r="L89" t="str">
        <x:f>IF(A89="","",SUMIFS(Sales!$G$6:$G$505,Sales!$C$6:$C$505,A89,Sales!$K$6:$K$505,"Completed"))</x:f>
      </x:c>
      <x:c r="M89" s="24" t="str">
        <x:f>IF(A89="","",SUMIFS(Sales!$J$6:$J$505,Sales!$C$6:$C$505,A89,Sales!$K$6:$K$505,"Completed"))</x:f>
      </x:c>
      <x:c r="N89" s="28" t="str">
        <x:f>IF(A89="","",IF(K89=0,"",_xlfn.MAXIFS(Sales!$B$6:$B$505,Sales!$C$6:$C$505,A89,Sales!$K$6:$K$505,"Completed")))</x:f>
      </x:c>
    </x:row>
    <x:row r="90" ht="22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t="str">
        <x:f>IF(A90="","",COUNTIFS(Sales!$C$6:$C$505,A90,Sales!$K$6:$K$505,"Completed"))</x:f>
      </x:c>
      <x:c r="L90" t="str">
        <x:f>IF(A90="","",SUMIFS(Sales!$G$6:$G$505,Sales!$C$6:$C$505,A90,Sales!$K$6:$K$505,"Completed"))</x:f>
      </x:c>
      <x:c r="M90" s="24" t="str">
        <x:f>IF(A90="","",SUMIFS(Sales!$J$6:$J$505,Sales!$C$6:$C$505,A90,Sales!$K$6:$K$505,"Completed"))</x:f>
      </x:c>
      <x:c r="N90" s="28" t="str">
        <x:f>IF(A90="","",IF(K90=0,"",_xlfn.MAXIFS(Sales!$B$6:$B$505,Sales!$C$6:$C$505,A90,Sales!$K$6:$K$505,"Completed")))</x:f>
      </x:c>
    </x:row>
    <x:row r="91" ht="22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t="str">
        <x:f>IF(A91="","",COUNTIFS(Sales!$C$6:$C$505,A91,Sales!$K$6:$K$505,"Completed"))</x:f>
      </x:c>
      <x:c r="L91" t="str">
        <x:f>IF(A91="","",SUMIFS(Sales!$G$6:$G$505,Sales!$C$6:$C$505,A91,Sales!$K$6:$K$505,"Completed"))</x:f>
      </x:c>
      <x:c r="M91" s="24" t="str">
        <x:f>IF(A91="","",SUMIFS(Sales!$J$6:$J$505,Sales!$C$6:$C$505,A91,Sales!$K$6:$K$505,"Completed"))</x:f>
      </x:c>
      <x:c r="N91" s="28" t="str">
        <x:f>IF(A91="","",IF(K91=0,"",_xlfn.MAXIFS(Sales!$B$6:$B$505,Sales!$C$6:$C$505,A91,Sales!$K$6:$K$505,"Completed")))</x:f>
      </x:c>
    </x:row>
    <x:row r="92" ht="22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t="str">
        <x:f>IF(A92="","",COUNTIFS(Sales!$C$6:$C$505,A92,Sales!$K$6:$K$505,"Completed"))</x:f>
      </x:c>
      <x:c r="L92" t="str">
        <x:f>IF(A92="","",SUMIFS(Sales!$G$6:$G$505,Sales!$C$6:$C$505,A92,Sales!$K$6:$K$505,"Completed"))</x:f>
      </x:c>
      <x:c r="M92" s="24" t="str">
        <x:f>IF(A92="","",SUMIFS(Sales!$J$6:$J$505,Sales!$C$6:$C$505,A92,Sales!$K$6:$K$505,"Completed"))</x:f>
      </x:c>
      <x:c r="N92" s="28" t="str">
        <x:f>IF(A92="","",IF(K92=0,"",_xlfn.MAXIFS(Sales!$B$6:$B$505,Sales!$C$6:$C$505,A92,Sales!$K$6:$K$505,"Completed")))</x:f>
      </x:c>
    </x:row>
    <x:row r="93" ht="22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t="str">
        <x:f>IF(A93="","",COUNTIFS(Sales!$C$6:$C$505,A93,Sales!$K$6:$K$505,"Completed"))</x:f>
      </x:c>
      <x:c r="L93" t="str">
        <x:f>IF(A93="","",SUMIFS(Sales!$G$6:$G$505,Sales!$C$6:$C$505,A93,Sales!$K$6:$K$505,"Completed"))</x:f>
      </x:c>
      <x:c r="M93" s="24" t="str">
        <x:f>IF(A93="","",SUMIFS(Sales!$J$6:$J$505,Sales!$C$6:$C$505,A93,Sales!$K$6:$K$505,"Completed"))</x:f>
      </x:c>
      <x:c r="N93" s="28" t="str">
        <x:f>IF(A93="","",IF(K93=0,"",_xlfn.MAXIFS(Sales!$B$6:$B$505,Sales!$C$6:$C$505,A93,Sales!$K$6:$K$505,"Completed")))</x:f>
      </x:c>
    </x:row>
    <x:row r="94" ht="22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t="str">
        <x:f>IF(A94="","",COUNTIFS(Sales!$C$6:$C$505,A94,Sales!$K$6:$K$505,"Completed"))</x:f>
      </x:c>
      <x:c r="L94" t="str">
        <x:f>IF(A94="","",SUMIFS(Sales!$G$6:$G$505,Sales!$C$6:$C$505,A94,Sales!$K$6:$K$505,"Completed"))</x:f>
      </x:c>
      <x:c r="M94" s="24" t="str">
        <x:f>IF(A94="","",SUMIFS(Sales!$J$6:$J$505,Sales!$C$6:$C$505,A94,Sales!$K$6:$K$505,"Completed"))</x:f>
      </x:c>
      <x:c r="N94" s="28" t="str">
        <x:f>IF(A94="","",IF(K94=0,"",_xlfn.MAXIFS(Sales!$B$6:$B$505,Sales!$C$6:$C$505,A94,Sales!$K$6:$K$505,"Completed")))</x:f>
      </x:c>
    </x:row>
    <x:row r="95" ht="22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t="str">
        <x:f>IF(A95="","",COUNTIFS(Sales!$C$6:$C$505,A95,Sales!$K$6:$K$505,"Completed"))</x:f>
      </x:c>
      <x:c r="L95" t="str">
        <x:f>IF(A95="","",SUMIFS(Sales!$G$6:$G$505,Sales!$C$6:$C$505,A95,Sales!$K$6:$K$505,"Completed"))</x:f>
      </x:c>
      <x:c r="M95" s="24" t="str">
        <x:f>IF(A95="","",SUMIFS(Sales!$J$6:$J$505,Sales!$C$6:$C$505,A95,Sales!$K$6:$K$505,"Completed"))</x:f>
      </x:c>
      <x:c r="N95" s="28" t="str">
        <x:f>IF(A95="","",IF(K95=0,"",_xlfn.MAXIFS(Sales!$B$6:$B$505,Sales!$C$6:$C$505,A95,Sales!$K$6:$K$505,"Completed")))</x:f>
      </x:c>
    </x:row>
    <x:row r="96" ht="22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t="str">
        <x:f>IF(A96="","",COUNTIFS(Sales!$C$6:$C$505,A96,Sales!$K$6:$K$505,"Completed"))</x:f>
      </x:c>
      <x:c r="L96" t="str">
        <x:f>IF(A96="","",SUMIFS(Sales!$G$6:$G$505,Sales!$C$6:$C$505,A96,Sales!$K$6:$K$505,"Completed"))</x:f>
      </x:c>
      <x:c r="M96" s="24" t="str">
        <x:f>IF(A96="","",SUMIFS(Sales!$J$6:$J$505,Sales!$C$6:$C$505,A96,Sales!$K$6:$K$505,"Completed"))</x:f>
      </x:c>
      <x:c r="N96" s="28" t="str">
        <x:f>IF(A96="","",IF(K96=0,"",_xlfn.MAXIFS(Sales!$B$6:$B$505,Sales!$C$6:$C$505,A96,Sales!$K$6:$K$505,"Completed")))</x:f>
      </x:c>
    </x:row>
    <x:row r="97" ht="22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t="str">
        <x:f>IF(A97="","",COUNTIFS(Sales!$C$6:$C$505,A97,Sales!$K$6:$K$505,"Completed"))</x:f>
      </x:c>
      <x:c r="L97" t="str">
        <x:f>IF(A97="","",SUMIFS(Sales!$G$6:$G$505,Sales!$C$6:$C$505,A97,Sales!$K$6:$K$505,"Completed"))</x:f>
      </x:c>
      <x:c r="M97" s="24" t="str">
        <x:f>IF(A97="","",SUMIFS(Sales!$J$6:$J$505,Sales!$C$6:$C$505,A97,Sales!$K$6:$K$505,"Completed"))</x:f>
      </x:c>
      <x:c r="N97" s="28" t="str">
        <x:f>IF(A97="","",IF(K97=0,"",_xlfn.MAXIFS(Sales!$B$6:$B$505,Sales!$C$6:$C$505,A97,Sales!$K$6:$K$505,"Completed")))</x:f>
      </x:c>
    </x:row>
    <x:row r="98" ht="22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t="str">
        <x:f>IF(A98="","",COUNTIFS(Sales!$C$6:$C$505,A98,Sales!$K$6:$K$505,"Completed"))</x:f>
      </x:c>
      <x:c r="L98" t="str">
        <x:f>IF(A98="","",SUMIFS(Sales!$G$6:$G$505,Sales!$C$6:$C$505,A98,Sales!$K$6:$K$505,"Completed"))</x:f>
      </x:c>
      <x:c r="M98" s="24" t="str">
        <x:f>IF(A98="","",SUMIFS(Sales!$J$6:$J$505,Sales!$C$6:$C$505,A98,Sales!$K$6:$K$505,"Completed"))</x:f>
      </x:c>
      <x:c r="N98" s="28" t="str">
        <x:f>IF(A98="","",IF(K98=0,"",_xlfn.MAXIFS(Sales!$B$6:$B$505,Sales!$C$6:$C$505,A98,Sales!$K$6:$K$505,"Completed")))</x:f>
      </x:c>
    </x:row>
    <x:row r="99" ht="22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t="str">
        <x:f>IF(A99="","",COUNTIFS(Sales!$C$6:$C$505,A99,Sales!$K$6:$K$505,"Completed"))</x:f>
      </x:c>
      <x:c r="L99" t="str">
        <x:f>IF(A99="","",SUMIFS(Sales!$G$6:$G$505,Sales!$C$6:$C$505,A99,Sales!$K$6:$K$505,"Completed"))</x:f>
      </x:c>
      <x:c r="M99" s="24" t="str">
        <x:f>IF(A99="","",SUMIFS(Sales!$J$6:$J$505,Sales!$C$6:$C$505,A99,Sales!$K$6:$K$505,"Completed"))</x:f>
      </x:c>
      <x:c r="N99" s="28" t="str">
        <x:f>IF(A99="","",IF(K99=0,"",_xlfn.MAXIFS(Sales!$B$6:$B$505,Sales!$C$6:$C$505,A99,Sales!$K$6:$K$505,"Completed")))</x:f>
      </x:c>
    </x:row>
    <x:row r="100" ht="22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t="str">
        <x:f>IF(A100="","",COUNTIFS(Sales!$C$6:$C$505,A100,Sales!$K$6:$K$505,"Completed"))</x:f>
      </x:c>
      <x:c r="L100" t="str">
        <x:f>IF(A100="","",SUMIFS(Sales!$G$6:$G$505,Sales!$C$6:$C$505,A100,Sales!$K$6:$K$505,"Completed"))</x:f>
      </x:c>
      <x:c r="M100" s="24" t="str">
        <x:f>IF(A100="","",SUMIFS(Sales!$J$6:$J$505,Sales!$C$6:$C$505,A100,Sales!$K$6:$K$505,"Completed"))</x:f>
      </x:c>
      <x:c r="N100" s="28" t="str">
        <x:f>IF(A100="","",IF(K100=0,"",_xlfn.MAXIFS(Sales!$B$6:$B$505,Sales!$C$6:$C$505,A100,Sales!$K$6:$K$505,"Completed")))</x:f>
      </x:c>
    </x:row>
    <x:row r="101" ht="22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t="str">
        <x:f>IF(A101="","",COUNTIFS(Sales!$C$6:$C$505,A101,Sales!$K$6:$K$505,"Completed"))</x:f>
      </x:c>
      <x:c r="L101" t="str">
        <x:f>IF(A101="","",SUMIFS(Sales!$G$6:$G$505,Sales!$C$6:$C$505,A101,Sales!$K$6:$K$505,"Completed"))</x:f>
      </x:c>
      <x:c r="M101" s="24" t="str">
        <x:f>IF(A101="","",SUMIFS(Sales!$J$6:$J$505,Sales!$C$6:$C$505,A101,Sales!$K$6:$K$505,"Completed"))</x:f>
      </x:c>
      <x:c r="N101" s="28" t="str">
        <x:f>IF(A101="","",IF(K101=0,"",_xlfn.MAXIFS(Sales!$B$6:$B$505,Sales!$C$6:$C$505,A101,Sales!$K$6:$K$505,"Completed")))</x:f>
      </x:c>
    </x:row>
    <x:row r="102" ht="22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t="str">
        <x:f>IF(A102="","",COUNTIFS(Sales!$C$6:$C$505,A102,Sales!$K$6:$K$505,"Completed"))</x:f>
      </x:c>
      <x:c r="L102" t="str">
        <x:f>IF(A102="","",SUMIFS(Sales!$G$6:$G$505,Sales!$C$6:$C$505,A102,Sales!$K$6:$K$505,"Completed"))</x:f>
      </x:c>
      <x:c r="M102" s="24" t="str">
        <x:f>IF(A102="","",SUMIFS(Sales!$J$6:$J$505,Sales!$C$6:$C$505,A102,Sales!$K$6:$K$505,"Completed"))</x:f>
      </x:c>
      <x:c r="N102" s="28" t="str">
        <x:f>IF(A102="","",IF(K102=0,"",_xlfn.MAXIFS(Sales!$B$6:$B$505,Sales!$C$6:$C$505,A102,Sales!$K$6:$K$505,"Completed")))</x:f>
      </x:c>
    </x:row>
    <x:row r="103" ht="22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t="str">
        <x:f>IF(A103="","",COUNTIFS(Sales!$C$6:$C$505,A103,Sales!$K$6:$K$505,"Completed"))</x:f>
      </x:c>
      <x:c r="L103" t="str">
        <x:f>IF(A103="","",SUMIFS(Sales!$G$6:$G$505,Sales!$C$6:$C$505,A103,Sales!$K$6:$K$505,"Completed"))</x:f>
      </x:c>
      <x:c r="M103" s="24" t="str">
        <x:f>IF(A103="","",SUMIFS(Sales!$J$6:$J$505,Sales!$C$6:$C$505,A103,Sales!$K$6:$K$505,"Completed"))</x:f>
      </x:c>
      <x:c r="N103" s="28" t="str">
        <x:f>IF(A103="","",IF(K103=0,"",_xlfn.MAXIFS(Sales!$B$6:$B$505,Sales!$C$6:$C$505,A103,Sales!$K$6:$K$505,"Completed")))</x:f>
      </x:c>
    </x:row>
    <x:row r="104" ht="22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t="str">
        <x:f>IF(A104="","",COUNTIFS(Sales!$C$6:$C$505,A104,Sales!$K$6:$K$505,"Completed"))</x:f>
      </x:c>
      <x:c r="L104" t="str">
        <x:f>IF(A104="","",SUMIFS(Sales!$G$6:$G$505,Sales!$C$6:$C$505,A104,Sales!$K$6:$K$505,"Completed"))</x:f>
      </x:c>
      <x:c r="M104" s="24" t="str">
        <x:f>IF(A104="","",SUMIFS(Sales!$J$6:$J$505,Sales!$C$6:$C$505,A104,Sales!$K$6:$K$505,"Completed"))</x:f>
      </x:c>
      <x:c r="N104" s="28" t="str">
        <x:f>IF(A104="","",IF(K104=0,"",_xlfn.MAXIFS(Sales!$B$6:$B$505,Sales!$C$6:$C$505,A104,Sales!$K$6:$K$505,"Completed")))</x:f>
      </x:c>
    </x:row>
    <x:row r="105" ht="22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t="str">
        <x:f>IF(A105="","",COUNTIFS(Sales!$C$6:$C$505,A105,Sales!$K$6:$K$505,"Completed"))</x:f>
      </x:c>
      <x:c r="L105" t="str">
        <x:f>IF(A105="","",SUMIFS(Sales!$G$6:$G$505,Sales!$C$6:$C$505,A105,Sales!$K$6:$K$505,"Completed"))</x:f>
      </x:c>
      <x:c r="M105" s="24" t="str">
        <x:f>IF(A105="","",SUMIFS(Sales!$J$6:$J$505,Sales!$C$6:$C$505,A105,Sales!$K$6:$K$505,"Completed"))</x:f>
      </x:c>
      <x:c r="N105" s="28" t="str">
        <x:f>IF(A105="","",IF(K105=0,"",_xlfn.MAXIFS(Sales!$B$6:$B$505,Sales!$C$6:$C$505,A105,Sales!$K$6:$K$505,"Completed")))</x:f>
      </x:c>
    </x:row>
    <x:row r="106" ht="22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t="str">
        <x:f>IF(A106="","",COUNTIFS(Sales!$C$6:$C$505,A106,Sales!$K$6:$K$505,"Completed"))</x:f>
      </x:c>
      <x:c r="L106" t="str">
        <x:f>IF(A106="","",SUMIFS(Sales!$G$6:$G$505,Sales!$C$6:$C$505,A106,Sales!$K$6:$K$505,"Completed"))</x:f>
      </x:c>
      <x:c r="M106" s="24" t="str">
        <x:f>IF(A106="","",SUMIFS(Sales!$J$6:$J$505,Sales!$C$6:$C$505,A106,Sales!$K$6:$K$505,"Completed"))</x:f>
      </x:c>
      <x:c r="N106" s="28" t="str">
        <x:f>IF(A106="","",IF(K106=0,"",_xlfn.MAXIFS(Sales!$B$6:$B$505,Sales!$C$6:$C$505,A106,Sales!$K$6:$K$505,"Completed")))</x:f>
      </x:c>
    </x:row>
    <x:row r="107" ht="22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t="str">
        <x:f>IF(A107="","",COUNTIFS(Sales!$C$6:$C$505,A107,Sales!$K$6:$K$505,"Completed"))</x:f>
      </x:c>
      <x:c r="L107" t="str">
        <x:f>IF(A107="","",SUMIFS(Sales!$G$6:$G$505,Sales!$C$6:$C$505,A107,Sales!$K$6:$K$505,"Completed"))</x:f>
      </x:c>
      <x:c r="M107" s="24" t="str">
        <x:f>IF(A107="","",SUMIFS(Sales!$J$6:$J$505,Sales!$C$6:$C$505,A107,Sales!$K$6:$K$505,"Completed"))</x:f>
      </x:c>
      <x:c r="N107" s="28" t="str">
        <x:f>IF(A107="","",IF(K107=0,"",_xlfn.MAXIFS(Sales!$B$6:$B$505,Sales!$C$6:$C$505,A107,Sales!$K$6:$K$505,"Completed")))</x:f>
      </x:c>
    </x:row>
    <x:row r="108" ht="22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t="str">
        <x:f>IF(A108="","",COUNTIFS(Sales!$C$6:$C$505,A108,Sales!$K$6:$K$505,"Completed"))</x:f>
      </x:c>
      <x:c r="L108" t="str">
        <x:f>IF(A108="","",SUMIFS(Sales!$G$6:$G$505,Sales!$C$6:$C$505,A108,Sales!$K$6:$K$505,"Completed"))</x:f>
      </x:c>
      <x:c r="M108" s="24" t="str">
        <x:f>IF(A108="","",SUMIFS(Sales!$J$6:$J$505,Sales!$C$6:$C$505,A108,Sales!$K$6:$K$505,"Completed"))</x:f>
      </x:c>
      <x:c r="N108" s="28" t="str">
        <x:f>IF(A108="","",IF(K108=0,"",_xlfn.MAXIFS(Sales!$B$6:$B$505,Sales!$C$6:$C$505,A108,Sales!$K$6:$K$505,"Completed")))</x:f>
      </x:c>
    </x:row>
    <x:row r="109" ht="22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t="str">
        <x:f>IF(A109="","",COUNTIFS(Sales!$C$6:$C$505,A109,Sales!$K$6:$K$505,"Completed"))</x:f>
      </x:c>
      <x:c r="L109" t="str">
        <x:f>IF(A109="","",SUMIFS(Sales!$G$6:$G$505,Sales!$C$6:$C$505,A109,Sales!$K$6:$K$505,"Completed"))</x:f>
      </x:c>
      <x:c r="M109" s="24" t="str">
        <x:f>IF(A109="","",SUMIFS(Sales!$J$6:$J$505,Sales!$C$6:$C$505,A109,Sales!$K$6:$K$505,"Completed"))</x:f>
      </x:c>
      <x:c r="N109" s="28" t="str">
        <x:f>IF(A109="","",IF(K109=0,"",_xlfn.MAXIFS(Sales!$B$6:$B$505,Sales!$C$6:$C$505,A109,Sales!$K$6:$K$505,"Completed")))</x:f>
      </x:c>
    </x:row>
    <x:row r="110" ht="22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t="str">
        <x:f>IF(A110="","",COUNTIFS(Sales!$C$6:$C$505,A110,Sales!$K$6:$K$505,"Completed"))</x:f>
      </x:c>
      <x:c r="L110" t="str">
        <x:f>IF(A110="","",SUMIFS(Sales!$G$6:$G$505,Sales!$C$6:$C$505,A110,Sales!$K$6:$K$505,"Completed"))</x:f>
      </x:c>
      <x:c r="M110" s="24" t="str">
        <x:f>IF(A110="","",SUMIFS(Sales!$J$6:$J$505,Sales!$C$6:$C$505,A110,Sales!$K$6:$K$505,"Completed"))</x:f>
      </x:c>
      <x:c r="N110" s="28" t="str">
        <x:f>IF(A110="","",IF(K110=0,"",_xlfn.MAXIFS(Sales!$B$6:$B$505,Sales!$C$6:$C$505,A110,Sales!$K$6:$K$505,"Completed")))</x:f>
      </x:c>
    </x:row>
    <x:row r="111" ht="22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t="str">
        <x:f>IF(A111="","",COUNTIFS(Sales!$C$6:$C$505,A111,Sales!$K$6:$K$505,"Completed"))</x:f>
      </x:c>
      <x:c r="L111" t="str">
        <x:f>IF(A111="","",SUMIFS(Sales!$G$6:$G$505,Sales!$C$6:$C$505,A111,Sales!$K$6:$K$505,"Completed"))</x:f>
      </x:c>
      <x:c r="M111" s="24" t="str">
        <x:f>IF(A111="","",SUMIFS(Sales!$J$6:$J$505,Sales!$C$6:$C$505,A111,Sales!$K$6:$K$505,"Completed"))</x:f>
      </x:c>
      <x:c r="N111" s="28" t="str">
        <x:f>IF(A111="","",IF(K111=0,"",_xlfn.MAXIFS(Sales!$B$6:$B$505,Sales!$C$6:$C$505,A111,Sales!$K$6:$K$505,"Completed")))</x:f>
      </x:c>
    </x:row>
    <x:row r="112" ht="22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t="str">
        <x:f>IF(A112="","",COUNTIFS(Sales!$C$6:$C$505,A112,Sales!$K$6:$K$505,"Completed"))</x:f>
      </x:c>
      <x:c r="L112" t="str">
        <x:f>IF(A112="","",SUMIFS(Sales!$G$6:$G$505,Sales!$C$6:$C$505,A112,Sales!$K$6:$K$505,"Completed"))</x:f>
      </x:c>
      <x:c r="M112" s="24" t="str">
        <x:f>IF(A112="","",SUMIFS(Sales!$J$6:$J$505,Sales!$C$6:$C$505,A112,Sales!$K$6:$K$505,"Completed"))</x:f>
      </x:c>
      <x:c r="N112" s="28" t="str">
        <x:f>IF(A112="","",IF(K112=0,"",_xlfn.MAXIFS(Sales!$B$6:$B$505,Sales!$C$6:$C$505,A112,Sales!$K$6:$K$505,"Completed")))</x:f>
      </x:c>
    </x:row>
    <x:row r="113" ht="22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t="str">
        <x:f>IF(A113="","",COUNTIFS(Sales!$C$6:$C$505,A113,Sales!$K$6:$K$505,"Completed"))</x:f>
      </x:c>
      <x:c r="L113" t="str">
        <x:f>IF(A113="","",SUMIFS(Sales!$G$6:$G$505,Sales!$C$6:$C$505,A113,Sales!$K$6:$K$505,"Completed"))</x:f>
      </x:c>
      <x:c r="M113" s="24" t="str">
        <x:f>IF(A113="","",SUMIFS(Sales!$J$6:$J$505,Sales!$C$6:$C$505,A113,Sales!$K$6:$K$505,"Completed"))</x:f>
      </x:c>
      <x:c r="N113" s="28" t="str">
        <x:f>IF(A113="","",IF(K113=0,"",_xlfn.MAXIFS(Sales!$B$6:$B$505,Sales!$C$6:$C$505,A113,Sales!$K$6:$K$505,"Completed")))</x:f>
      </x:c>
    </x:row>
    <x:row r="114" ht="22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t="str">
        <x:f>IF(A114="","",COUNTIFS(Sales!$C$6:$C$505,A114,Sales!$K$6:$K$505,"Completed"))</x:f>
      </x:c>
      <x:c r="L114" t="str">
        <x:f>IF(A114="","",SUMIFS(Sales!$G$6:$G$505,Sales!$C$6:$C$505,A114,Sales!$K$6:$K$505,"Completed"))</x:f>
      </x:c>
      <x:c r="M114" s="24" t="str">
        <x:f>IF(A114="","",SUMIFS(Sales!$J$6:$J$505,Sales!$C$6:$C$505,A114,Sales!$K$6:$K$505,"Completed"))</x:f>
      </x:c>
      <x:c r="N114" s="28" t="str">
        <x:f>IF(A114="","",IF(K114=0,"",_xlfn.MAXIFS(Sales!$B$6:$B$505,Sales!$C$6:$C$505,A114,Sales!$K$6:$K$505,"Completed")))</x:f>
      </x:c>
    </x:row>
    <x:row r="115" ht="22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t="str">
        <x:f>IF(A115="","",COUNTIFS(Sales!$C$6:$C$505,A115,Sales!$K$6:$K$505,"Completed"))</x:f>
      </x:c>
      <x:c r="L115" t="str">
        <x:f>IF(A115="","",SUMIFS(Sales!$G$6:$G$505,Sales!$C$6:$C$505,A115,Sales!$K$6:$K$505,"Completed"))</x:f>
      </x:c>
      <x:c r="M115" s="24" t="str">
        <x:f>IF(A115="","",SUMIFS(Sales!$J$6:$J$505,Sales!$C$6:$C$505,A115,Sales!$K$6:$K$505,"Completed"))</x:f>
      </x:c>
      <x:c r="N115" s="28" t="str">
        <x:f>IF(A115="","",IF(K115=0,"",_xlfn.MAXIFS(Sales!$B$6:$B$505,Sales!$C$6:$C$505,A115,Sales!$K$6:$K$505,"Completed")))</x:f>
      </x:c>
    </x:row>
    <x:row r="116" ht="22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t="str">
        <x:f>IF(A116="","",COUNTIFS(Sales!$C$6:$C$505,A116,Sales!$K$6:$K$505,"Completed"))</x:f>
      </x:c>
      <x:c r="L116" t="str">
        <x:f>IF(A116="","",SUMIFS(Sales!$G$6:$G$505,Sales!$C$6:$C$505,A116,Sales!$K$6:$K$505,"Completed"))</x:f>
      </x:c>
      <x:c r="M116" s="24" t="str">
        <x:f>IF(A116="","",SUMIFS(Sales!$J$6:$J$505,Sales!$C$6:$C$505,A116,Sales!$K$6:$K$505,"Completed"))</x:f>
      </x:c>
      <x:c r="N116" s="28" t="str">
        <x:f>IF(A116="","",IF(K116=0,"",_xlfn.MAXIFS(Sales!$B$6:$B$505,Sales!$C$6:$C$505,A116,Sales!$K$6:$K$505,"Completed")))</x:f>
      </x:c>
    </x:row>
    <x:row r="117" ht="22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t="str">
        <x:f>IF(A117="","",COUNTIFS(Sales!$C$6:$C$505,A117,Sales!$K$6:$K$505,"Completed"))</x:f>
      </x:c>
      <x:c r="L117" t="str">
        <x:f>IF(A117="","",SUMIFS(Sales!$G$6:$G$505,Sales!$C$6:$C$505,A117,Sales!$K$6:$K$505,"Completed"))</x:f>
      </x:c>
      <x:c r="M117" s="24" t="str">
        <x:f>IF(A117="","",SUMIFS(Sales!$J$6:$J$505,Sales!$C$6:$C$505,A117,Sales!$K$6:$K$505,"Completed"))</x:f>
      </x:c>
      <x:c r="N117" s="28" t="str">
        <x:f>IF(A117="","",IF(K117=0,"",_xlfn.MAXIFS(Sales!$B$6:$B$505,Sales!$C$6:$C$505,A117,Sales!$K$6:$K$505,"Completed")))</x:f>
      </x:c>
    </x:row>
    <x:row r="118" ht="22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t="str">
        <x:f>IF(A118="","",COUNTIFS(Sales!$C$6:$C$505,A118,Sales!$K$6:$K$505,"Completed"))</x:f>
      </x:c>
      <x:c r="L118" t="str">
        <x:f>IF(A118="","",SUMIFS(Sales!$G$6:$G$505,Sales!$C$6:$C$505,A118,Sales!$K$6:$K$505,"Completed"))</x:f>
      </x:c>
      <x:c r="M118" s="24" t="str">
        <x:f>IF(A118="","",SUMIFS(Sales!$J$6:$J$505,Sales!$C$6:$C$505,A118,Sales!$K$6:$K$505,"Completed"))</x:f>
      </x:c>
      <x:c r="N118" s="28" t="str">
        <x:f>IF(A118="","",IF(K118=0,"",_xlfn.MAXIFS(Sales!$B$6:$B$505,Sales!$C$6:$C$505,A118,Sales!$K$6:$K$505,"Completed")))</x:f>
      </x:c>
    </x:row>
    <x:row r="119" ht="22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t="str">
        <x:f>IF(A119="","",COUNTIFS(Sales!$C$6:$C$505,A119,Sales!$K$6:$K$505,"Completed"))</x:f>
      </x:c>
      <x:c r="L119" t="str">
        <x:f>IF(A119="","",SUMIFS(Sales!$G$6:$G$505,Sales!$C$6:$C$505,A119,Sales!$K$6:$K$505,"Completed"))</x:f>
      </x:c>
      <x:c r="M119" s="24" t="str">
        <x:f>IF(A119="","",SUMIFS(Sales!$J$6:$J$505,Sales!$C$6:$C$505,A119,Sales!$K$6:$K$505,"Completed"))</x:f>
      </x:c>
      <x:c r="N119" s="28" t="str">
        <x:f>IF(A119="","",IF(K119=0,"",_xlfn.MAXIFS(Sales!$B$6:$B$505,Sales!$C$6:$C$505,A119,Sales!$K$6:$K$505,"Completed")))</x:f>
      </x:c>
    </x:row>
    <x:row r="120" ht="22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t="str">
        <x:f>IF(A120="","",COUNTIFS(Sales!$C$6:$C$505,A120,Sales!$K$6:$K$505,"Completed"))</x:f>
      </x:c>
      <x:c r="L120" t="str">
        <x:f>IF(A120="","",SUMIFS(Sales!$G$6:$G$505,Sales!$C$6:$C$505,A120,Sales!$K$6:$K$505,"Completed"))</x:f>
      </x:c>
      <x:c r="M120" s="24" t="str">
        <x:f>IF(A120="","",SUMIFS(Sales!$J$6:$J$505,Sales!$C$6:$C$505,A120,Sales!$K$6:$K$505,"Completed"))</x:f>
      </x:c>
      <x:c r="N120" s="28" t="str">
        <x:f>IF(A120="","",IF(K120=0,"",_xlfn.MAXIFS(Sales!$B$6:$B$505,Sales!$C$6:$C$505,A120,Sales!$K$6:$K$505,"Completed")))</x:f>
      </x:c>
    </x:row>
    <x:row r="121" ht="22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t="str">
        <x:f>IF(A121="","",COUNTIFS(Sales!$C$6:$C$505,A121,Sales!$K$6:$K$505,"Completed"))</x:f>
      </x:c>
      <x:c r="L121" t="str">
        <x:f>IF(A121="","",SUMIFS(Sales!$G$6:$G$505,Sales!$C$6:$C$505,A121,Sales!$K$6:$K$505,"Completed"))</x:f>
      </x:c>
      <x:c r="M121" s="24" t="str">
        <x:f>IF(A121="","",SUMIFS(Sales!$J$6:$J$505,Sales!$C$6:$C$505,A121,Sales!$K$6:$K$505,"Completed"))</x:f>
      </x:c>
      <x:c r="N121" s="28" t="str">
        <x:f>IF(A121="","",IF(K121=0,"",_xlfn.MAXIFS(Sales!$B$6:$B$505,Sales!$C$6:$C$505,A121,Sales!$K$6:$K$505,"Completed")))</x:f>
      </x:c>
    </x:row>
    <x:row r="122" ht="22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t="str">
        <x:f>IF(A122="","",COUNTIFS(Sales!$C$6:$C$505,A122,Sales!$K$6:$K$505,"Completed"))</x:f>
      </x:c>
      <x:c r="L122" t="str">
        <x:f>IF(A122="","",SUMIFS(Sales!$G$6:$G$505,Sales!$C$6:$C$505,A122,Sales!$K$6:$K$505,"Completed"))</x:f>
      </x:c>
      <x:c r="M122" s="24" t="str">
        <x:f>IF(A122="","",SUMIFS(Sales!$J$6:$J$505,Sales!$C$6:$C$505,A122,Sales!$K$6:$K$505,"Completed"))</x:f>
      </x:c>
      <x:c r="N122" s="28" t="str">
        <x:f>IF(A122="","",IF(K122=0,"",_xlfn.MAXIFS(Sales!$B$6:$B$505,Sales!$C$6:$C$505,A122,Sales!$K$6:$K$505,"Completed")))</x:f>
      </x:c>
    </x:row>
    <x:row r="123" ht="22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t="str">
        <x:f>IF(A123="","",COUNTIFS(Sales!$C$6:$C$505,A123,Sales!$K$6:$K$505,"Completed"))</x:f>
      </x:c>
      <x:c r="L123" t="str">
        <x:f>IF(A123="","",SUMIFS(Sales!$G$6:$G$505,Sales!$C$6:$C$505,A123,Sales!$K$6:$K$505,"Completed"))</x:f>
      </x:c>
      <x:c r="M123" s="24" t="str">
        <x:f>IF(A123="","",SUMIFS(Sales!$J$6:$J$505,Sales!$C$6:$C$505,A123,Sales!$K$6:$K$505,"Completed"))</x:f>
      </x:c>
      <x:c r="N123" s="28" t="str">
        <x:f>IF(A123="","",IF(K123=0,"",_xlfn.MAXIFS(Sales!$B$6:$B$505,Sales!$C$6:$C$505,A123,Sales!$K$6:$K$505,"Completed")))</x:f>
      </x:c>
    </x:row>
    <x:row r="124" ht="22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t="str">
        <x:f>IF(A124="","",COUNTIFS(Sales!$C$6:$C$505,A124,Sales!$K$6:$K$505,"Completed"))</x:f>
      </x:c>
      <x:c r="L124" t="str">
        <x:f>IF(A124="","",SUMIFS(Sales!$G$6:$G$505,Sales!$C$6:$C$505,A124,Sales!$K$6:$K$505,"Completed"))</x:f>
      </x:c>
      <x:c r="M124" s="24" t="str">
        <x:f>IF(A124="","",SUMIFS(Sales!$J$6:$J$505,Sales!$C$6:$C$505,A124,Sales!$K$6:$K$505,"Completed"))</x:f>
      </x:c>
      <x:c r="N124" s="28" t="str">
        <x:f>IF(A124="","",IF(K124=0,"",_xlfn.MAXIFS(Sales!$B$6:$B$505,Sales!$C$6:$C$505,A124,Sales!$K$6:$K$505,"Completed")))</x:f>
      </x:c>
    </x:row>
    <x:row r="125" ht="22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t="str">
        <x:f>IF(A125="","",COUNTIFS(Sales!$C$6:$C$505,A125,Sales!$K$6:$K$505,"Completed"))</x:f>
      </x:c>
      <x:c r="L125" t="str">
        <x:f>IF(A125="","",SUMIFS(Sales!$G$6:$G$505,Sales!$C$6:$C$505,A125,Sales!$K$6:$K$505,"Completed"))</x:f>
      </x:c>
      <x:c r="M125" s="24" t="str">
        <x:f>IF(A125="","",SUMIFS(Sales!$J$6:$J$505,Sales!$C$6:$C$505,A125,Sales!$K$6:$K$505,"Completed"))</x:f>
      </x:c>
      <x:c r="N125" s="28" t="str">
        <x:f>IF(A125="","",IF(K125=0,"",_xlfn.MAXIFS(Sales!$B$6:$B$505,Sales!$C$6:$C$505,A125,Sales!$K$6:$K$505,"Completed")))</x:f>
      </x:c>
    </x:row>
    <x:row r="126" ht="22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t="str">
        <x:f>IF(A126="","",COUNTIFS(Sales!$C$6:$C$505,A126,Sales!$K$6:$K$505,"Completed"))</x:f>
      </x:c>
      <x:c r="L126" t="str">
        <x:f>IF(A126="","",SUMIFS(Sales!$G$6:$G$505,Sales!$C$6:$C$505,A126,Sales!$K$6:$K$505,"Completed"))</x:f>
      </x:c>
      <x:c r="M126" s="24" t="str">
        <x:f>IF(A126="","",SUMIFS(Sales!$J$6:$J$505,Sales!$C$6:$C$505,A126,Sales!$K$6:$K$505,"Completed"))</x:f>
      </x:c>
      <x:c r="N126" s="28" t="str">
        <x:f>IF(A126="","",IF(K126=0,"",_xlfn.MAXIFS(Sales!$B$6:$B$505,Sales!$C$6:$C$505,A126,Sales!$K$6:$K$505,"Completed")))</x:f>
      </x:c>
    </x:row>
    <x:row r="127" ht="22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t="str">
        <x:f>IF(A127="","",COUNTIFS(Sales!$C$6:$C$505,A127,Sales!$K$6:$K$505,"Completed"))</x:f>
      </x:c>
      <x:c r="L127" t="str">
        <x:f>IF(A127="","",SUMIFS(Sales!$G$6:$G$505,Sales!$C$6:$C$505,A127,Sales!$K$6:$K$505,"Completed"))</x:f>
      </x:c>
      <x:c r="M127" s="24" t="str">
        <x:f>IF(A127="","",SUMIFS(Sales!$J$6:$J$505,Sales!$C$6:$C$505,A127,Sales!$K$6:$K$505,"Completed"))</x:f>
      </x:c>
      <x:c r="N127" s="28" t="str">
        <x:f>IF(A127="","",IF(K127=0,"",_xlfn.MAXIFS(Sales!$B$6:$B$505,Sales!$C$6:$C$505,A127,Sales!$K$6:$K$505,"Completed")))</x:f>
      </x:c>
    </x:row>
    <x:row r="128" ht="22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t="str">
        <x:f>IF(A128="","",COUNTIFS(Sales!$C$6:$C$505,A128,Sales!$K$6:$K$505,"Completed"))</x:f>
      </x:c>
      <x:c r="L128" t="str">
        <x:f>IF(A128="","",SUMIFS(Sales!$G$6:$G$505,Sales!$C$6:$C$505,A128,Sales!$K$6:$K$505,"Completed"))</x:f>
      </x:c>
      <x:c r="M128" s="24" t="str">
        <x:f>IF(A128="","",SUMIFS(Sales!$J$6:$J$505,Sales!$C$6:$C$505,A128,Sales!$K$6:$K$505,"Completed"))</x:f>
      </x:c>
      <x:c r="N128" s="28" t="str">
        <x:f>IF(A128="","",IF(K128=0,"",_xlfn.MAXIFS(Sales!$B$6:$B$505,Sales!$C$6:$C$505,A128,Sales!$K$6:$K$505,"Completed")))</x:f>
      </x:c>
    </x:row>
    <x:row r="129" ht="22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t="str">
        <x:f>IF(A129="","",COUNTIFS(Sales!$C$6:$C$505,A129,Sales!$K$6:$K$505,"Completed"))</x:f>
      </x:c>
      <x:c r="L129" t="str">
        <x:f>IF(A129="","",SUMIFS(Sales!$G$6:$G$505,Sales!$C$6:$C$505,A129,Sales!$K$6:$K$505,"Completed"))</x:f>
      </x:c>
      <x:c r="M129" s="24" t="str">
        <x:f>IF(A129="","",SUMIFS(Sales!$J$6:$J$505,Sales!$C$6:$C$505,A129,Sales!$K$6:$K$505,"Completed"))</x:f>
      </x:c>
      <x:c r="N129" s="28" t="str">
        <x:f>IF(A129="","",IF(K129=0,"",_xlfn.MAXIFS(Sales!$B$6:$B$505,Sales!$C$6:$C$505,A129,Sales!$K$6:$K$505,"Completed")))</x:f>
      </x:c>
    </x:row>
    <x:row r="130" ht="22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t="str">
        <x:f>IF(A130="","",COUNTIFS(Sales!$C$6:$C$505,A130,Sales!$K$6:$K$505,"Completed"))</x:f>
      </x:c>
      <x:c r="L130" t="str">
        <x:f>IF(A130="","",SUMIFS(Sales!$G$6:$G$505,Sales!$C$6:$C$505,A130,Sales!$K$6:$K$505,"Completed"))</x:f>
      </x:c>
      <x:c r="M130" s="24" t="str">
        <x:f>IF(A130="","",SUMIFS(Sales!$J$6:$J$505,Sales!$C$6:$C$505,A130,Sales!$K$6:$K$505,"Completed"))</x:f>
      </x:c>
      <x:c r="N130" s="28" t="str">
        <x:f>IF(A130="","",IF(K130=0,"",_xlfn.MAXIFS(Sales!$B$6:$B$505,Sales!$C$6:$C$505,A130,Sales!$K$6:$K$505,"Completed")))</x:f>
      </x:c>
    </x:row>
    <x:row r="131" ht="22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t="str">
        <x:f>IF(A131="","",COUNTIFS(Sales!$C$6:$C$505,A131,Sales!$K$6:$K$505,"Completed"))</x:f>
      </x:c>
      <x:c r="L131" t="str">
        <x:f>IF(A131="","",SUMIFS(Sales!$G$6:$G$505,Sales!$C$6:$C$505,A131,Sales!$K$6:$K$505,"Completed"))</x:f>
      </x:c>
      <x:c r="M131" s="24" t="str">
        <x:f>IF(A131="","",SUMIFS(Sales!$J$6:$J$505,Sales!$C$6:$C$505,A131,Sales!$K$6:$K$505,"Completed"))</x:f>
      </x:c>
      <x:c r="N131" s="28" t="str">
        <x:f>IF(A131="","",IF(K131=0,"",_xlfn.MAXIFS(Sales!$B$6:$B$505,Sales!$C$6:$C$505,A131,Sales!$K$6:$K$505,"Completed")))</x:f>
      </x:c>
    </x:row>
    <x:row r="132" ht="22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t="str">
        <x:f>IF(A132="","",COUNTIFS(Sales!$C$6:$C$505,A132,Sales!$K$6:$K$505,"Completed"))</x:f>
      </x:c>
      <x:c r="L132" t="str">
        <x:f>IF(A132="","",SUMIFS(Sales!$G$6:$G$505,Sales!$C$6:$C$505,A132,Sales!$K$6:$K$505,"Completed"))</x:f>
      </x:c>
      <x:c r="M132" s="24" t="str">
        <x:f>IF(A132="","",SUMIFS(Sales!$J$6:$J$505,Sales!$C$6:$C$505,A132,Sales!$K$6:$K$505,"Completed"))</x:f>
      </x:c>
      <x:c r="N132" s="28" t="str">
        <x:f>IF(A132="","",IF(K132=0,"",_xlfn.MAXIFS(Sales!$B$6:$B$505,Sales!$C$6:$C$505,A132,Sales!$K$6:$K$505,"Completed")))</x:f>
      </x:c>
    </x:row>
    <x:row r="133" ht="22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t="str">
        <x:f>IF(A133="","",COUNTIFS(Sales!$C$6:$C$505,A133,Sales!$K$6:$K$505,"Completed"))</x:f>
      </x:c>
      <x:c r="L133" t="str">
        <x:f>IF(A133="","",SUMIFS(Sales!$G$6:$G$505,Sales!$C$6:$C$505,A133,Sales!$K$6:$K$505,"Completed"))</x:f>
      </x:c>
      <x:c r="M133" s="24" t="str">
        <x:f>IF(A133="","",SUMIFS(Sales!$J$6:$J$505,Sales!$C$6:$C$505,A133,Sales!$K$6:$K$505,"Completed"))</x:f>
      </x:c>
      <x:c r="N133" s="28" t="str">
        <x:f>IF(A133="","",IF(K133=0,"",_xlfn.MAXIFS(Sales!$B$6:$B$505,Sales!$C$6:$C$505,A133,Sales!$K$6:$K$505,"Completed")))</x:f>
      </x:c>
    </x:row>
    <x:row r="134" ht="22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t="str">
        <x:f>IF(A134="","",COUNTIFS(Sales!$C$6:$C$505,A134,Sales!$K$6:$K$505,"Completed"))</x:f>
      </x:c>
      <x:c r="L134" t="str">
        <x:f>IF(A134="","",SUMIFS(Sales!$G$6:$G$505,Sales!$C$6:$C$505,A134,Sales!$K$6:$K$505,"Completed"))</x:f>
      </x:c>
      <x:c r="M134" s="24" t="str">
        <x:f>IF(A134="","",SUMIFS(Sales!$J$6:$J$505,Sales!$C$6:$C$505,A134,Sales!$K$6:$K$505,"Completed"))</x:f>
      </x:c>
      <x:c r="N134" s="28" t="str">
        <x:f>IF(A134="","",IF(K134=0,"",_xlfn.MAXIFS(Sales!$B$6:$B$505,Sales!$C$6:$C$505,A134,Sales!$K$6:$K$505,"Completed")))</x:f>
      </x:c>
    </x:row>
    <x:row r="135" ht="22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t="str">
        <x:f>IF(A135="","",COUNTIFS(Sales!$C$6:$C$505,A135,Sales!$K$6:$K$505,"Completed"))</x:f>
      </x:c>
      <x:c r="L135" t="str">
        <x:f>IF(A135="","",SUMIFS(Sales!$G$6:$G$505,Sales!$C$6:$C$505,A135,Sales!$K$6:$K$505,"Completed"))</x:f>
      </x:c>
      <x:c r="M135" s="24" t="str">
        <x:f>IF(A135="","",SUMIFS(Sales!$J$6:$J$505,Sales!$C$6:$C$505,A135,Sales!$K$6:$K$505,"Completed"))</x:f>
      </x:c>
      <x:c r="N135" s="28" t="str">
        <x:f>IF(A135="","",IF(K135=0,"",_xlfn.MAXIFS(Sales!$B$6:$B$505,Sales!$C$6:$C$505,A135,Sales!$K$6:$K$505,"Completed")))</x:f>
      </x:c>
    </x:row>
    <x:row r="136" ht="22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t="str">
        <x:f>IF(A136="","",COUNTIFS(Sales!$C$6:$C$505,A136,Sales!$K$6:$K$505,"Completed"))</x:f>
      </x:c>
      <x:c r="L136" t="str">
        <x:f>IF(A136="","",SUMIFS(Sales!$G$6:$G$505,Sales!$C$6:$C$505,A136,Sales!$K$6:$K$505,"Completed"))</x:f>
      </x:c>
      <x:c r="M136" s="24" t="str">
        <x:f>IF(A136="","",SUMIFS(Sales!$J$6:$J$505,Sales!$C$6:$C$505,A136,Sales!$K$6:$K$505,"Completed"))</x:f>
      </x:c>
      <x:c r="N136" s="28" t="str">
        <x:f>IF(A136="","",IF(K136=0,"",_xlfn.MAXIFS(Sales!$B$6:$B$505,Sales!$C$6:$C$505,A136,Sales!$K$6:$K$505,"Completed")))</x:f>
      </x:c>
    </x:row>
    <x:row r="137" ht="22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t="str">
        <x:f>IF(A137="","",COUNTIFS(Sales!$C$6:$C$505,A137,Sales!$K$6:$K$505,"Completed"))</x:f>
      </x:c>
      <x:c r="L137" t="str">
        <x:f>IF(A137="","",SUMIFS(Sales!$G$6:$G$505,Sales!$C$6:$C$505,A137,Sales!$K$6:$K$505,"Completed"))</x:f>
      </x:c>
      <x:c r="M137" s="24" t="str">
        <x:f>IF(A137="","",SUMIFS(Sales!$J$6:$J$505,Sales!$C$6:$C$505,A137,Sales!$K$6:$K$505,"Completed"))</x:f>
      </x:c>
      <x:c r="N137" s="28" t="str">
        <x:f>IF(A137="","",IF(K137=0,"",_xlfn.MAXIFS(Sales!$B$6:$B$505,Sales!$C$6:$C$505,A137,Sales!$K$6:$K$505,"Completed")))</x:f>
      </x:c>
    </x:row>
    <x:row r="138" ht="22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t="str">
        <x:f>IF(A138="","",COUNTIFS(Sales!$C$6:$C$505,A138,Sales!$K$6:$K$505,"Completed"))</x:f>
      </x:c>
      <x:c r="L138" t="str">
        <x:f>IF(A138="","",SUMIFS(Sales!$G$6:$G$505,Sales!$C$6:$C$505,A138,Sales!$K$6:$K$505,"Completed"))</x:f>
      </x:c>
      <x:c r="M138" s="24" t="str">
        <x:f>IF(A138="","",SUMIFS(Sales!$J$6:$J$505,Sales!$C$6:$C$505,A138,Sales!$K$6:$K$505,"Completed"))</x:f>
      </x:c>
      <x:c r="N138" s="28" t="str">
        <x:f>IF(A138="","",IF(K138=0,"",_xlfn.MAXIFS(Sales!$B$6:$B$505,Sales!$C$6:$C$505,A138,Sales!$K$6:$K$505,"Completed")))</x:f>
      </x:c>
    </x:row>
    <x:row r="139" ht="22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t="str">
        <x:f>IF(A139="","",COUNTIFS(Sales!$C$6:$C$505,A139,Sales!$K$6:$K$505,"Completed"))</x:f>
      </x:c>
      <x:c r="L139" t="str">
        <x:f>IF(A139="","",SUMIFS(Sales!$G$6:$G$505,Sales!$C$6:$C$505,A139,Sales!$K$6:$K$505,"Completed"))</x:f>
      </x:c>
      <x:c r="M139" s="24" t="str">
        <x:f>IF(A139="","",SUMIFS(Sales!$J$6:$J$505,Sales!$C$6:$C$505,A139,Sales!$K$6:$K$505,"Completed"))</x:f>
      </x:c>
      <x:c r="N139" s="28" t="str">
        <x:f>IF(A139="","",IF(K139=0,"",_xlfn.MAXIFS(Sales!$B$6:$B$505,Sales!$C$6:$C$505,A139,Sales!$K$6:$K$505,"Completed")))</x:f>
      </x:c>
    </x:row>
    <x:row r="140" ht="22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t="str">
        <x:f>IF(A140="","",COUNTIFS(Sales!$C$6:$C$505,A140,Sales!$K$6:$K$505,"Completed"))</x:f>
      </x:c>
      <x:c r="L140" t="str">
        <x:f>IF(A140="","",SUMIFS(Sales!$G$6:$G$505,Sales!$C$6:$C$505,A140,Sales!$K$6:$K$505,"Completed"))</x:f>
      </x:c>
      <x:c r="M140" s="24" t="str">
        <x:f>IF(A140="","",SUMIFS(Sales!$J$6:$J$505,Sales!$C$6:$C$505,A140,Sales!$K$6:$K$505,"Completed"))</x:f>
      </x:c>
      <x:c r="N140" s="28" t="str">
        <x:f>IF(A140="","",IF(K140=0,"",_xlfn.MAXIFS(Sales!$B$6:$B$505,Sales!$C$6:$C$505,A140,Sales!$K$6:$K$505,"Completed")))</x:f>
      </x:c>
    </x:row>
    <x:row r="141" ht="22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t="str">
        <x:f>IF(A141="","",COUNTIFS(Sales!$C$6:$C$505,A141,Sales!$K$6:$K$505,"Completed"))</x:f>
      </x:c>
      <x:c r="L141" t="str">
        <x:f>IF(A141="","",SUMIFS(Sales!$G$6:$G$505,Sales!$C$6:$C$505,A141,Sales!$K$6:$K$505,"Completed"))</x:f>
      </x:c>
      <x:c r="M141" s="24" t="str">
        <x:f>IF(A141="","",SUMIFS(Sales!$J$6:$J$505,Sales!$C$6:$C$505,A141,Sales!$K$6:$K$505,"Completed"))</x:f>
      </x:c>
      <x:c r="N141" s="28" t="str">
        <x:f>IF(A141="","",IF(K141=0,"",_xlfn.MAXIFS(Sales!$B$6:$B$505,Sales!$C$6:$C$505,A141,Sales!$K$6:$K$505,"Completed")))</x:f>
      </x:c>
    </x:row>
    <x:row r="142" ht="22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t="str">
        <x:f>IF(A142="","",COUNTIFS(Sales!$C$6:$C$505,A142,Sales!$K$6:$K$505,"Completed"))</x:f>
      </x:c>
      <x:c r="L142" t="str">
        <x:f>IF(A142="","",SUMIFS(Sales!$G$6:$G$505,Sales!$C$6:$C$505,A142,Sales!$K$6:$K$505,"Completed"))</x:f>
      </x:c>
      <x:c r="M142" s="24" t="str">
        <x:f>IF(A142="","",SUMIFS(Sales!$J$6:$J$505,Sales!$C$6:$C$505,A142,Sales!$K$6:$K$505,"Completed"))</x:f>
      </x:c>
      <x:c r="N142" s="28" t="str">
        <x:f>IF(A142="","",IF(K142=0,"",_xlfn.MAXIFS(Sales!$B$6:$B$505,Sales!$C$6:$C$505,A142,Sales!$K$6:$K$505,"Completed")))</x:f>
      </x:c>
    </x:row>
    <x:row r="143" ht="22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t="str">
        <x:f>IF(A143="","",COUNTIFS(Sales!$C$6:$C$505,A143,Sales!$K$6:$K$505,"Completed"))</x:f>
      </x:c>
      <x:c r="L143" t="str">
        <x:f>IF(A143="","",SUMIFS(Sales!$G$6:$G$505,Sales!$C$6:$C$505,A143,Sales!$K$6:$K$505,"Completed"))</x:f>
      </x:c>
      <x:c r="M143" s="24" t="str">
        <x:f>IF(A143="","",SUMIFS(Sales!$J$6:$J$505,Sales!$C$6:$C$505,A143,Sales!$K$6:$K$505,"Completed"))</x:f>
      </x:c>
      <x:c r="N143" s="28" t="str">
        <x:f>IF(A143="","",IF(K143=0,"",_xlfn.MAXIFS(Sales!$B$6:$B$505,Sales!$C$6:$C$505,A143,Sales!$K$6:$K$505,"Completed")))</x:f>
      </x:c>
    </x:row>
    <x:row r="144" ht="22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t="str">
        <x:f>IF(A144="","",COUNTIFS(Sales!$C$6:$C$505,A144,Sales!$K$6:$K$505,"Completed"))</x:f>
      </x:c>
      <x:c r="L144" t="str">
        <x:f>IF(A144="","",SUMIFS(Sales!$G$6:$G$505,Sales!$C$6:$C$505,A144,Sales!$K$6:$K$505,"Completed"))</x:f>
      </x:c>
      <x:c r="M144" s="24" t="str">
        <x:f>IF(A144="","",SUMIFS(Sales!$J$6:$J$505,Sales!$C$6:$C$505,A144,Sales!$K$6:$K$505,"Completed"))</x:f>
      </x:c>
      <x:c r="N144" s="28" t="str">
        <x:f>IF(A144="","",IF(K144=0,"",_xlfn.MAXIFS(Sales!$B$6:$B$505,Sales!$C$6:$C$505,A144,Sales!$K$6:$K$505,"Completed")))</x:f>
      </x:c>
    </x:row>
    <x:row r="145" ht="22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t="str">
        <x:f>IF(A145="","",COUNTIFS(Sales!$C$6:$C$505,A145,Sales!$K$6:$K$505,"Completed"))</x:f>
      </x:c>
      <x:c r="L145" t="str">
        <x:f>IF(A145="","",SUMIFS(Sales!$G$6:$G$505,Sales!$C$6:$C$505,A145,Sales!$K$6:$K$505,"Completed"))</x:f>
      </x:c>
      <x:c r="M145" s="24" t="str">
        <x:f>IF(A145="","",SUMIFS(Sales!$J$6:$J$505,Sales!$C$6:$C$505,A145,Sales!$K$6:$K$505,"Completed"))</x:f>
      </x:c>
      <x:c r="N145" s="28" t="str">
        <x:f>IF(A145="","",IF(K145=0,"",_xlfn.MAXIFS(Sales!$B$6:$B$505,Sales!$C$6:$C$505,A145,Sales!$K$6:$K$505,"Completed")))</x:f>
      </x:c>
    </x:row>
    <x:row r="146" ht="22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t="str">
        <x:f>IF(A146="","",COUNTIFS(Sales!$C$6:$C$505,A146,Sales!$K$6:$K$505,"Completed"))</x:f>
      </x:c>
      <x:c r="L146" t="str">
        <x:f>IF(A146="","",SUMIFS(Sales!$G$6:$G$505,Sales!$C$6:$C$505,A146,Sales!$K$6:$K$505,"Completed"))</x:f>
      </x:c>
      <x:c r="M146" s="24" t="str">
        <x:f>IF(A146="","",SUMIFS(Sales!$J$6:$J$505,Sales!$C$6:$C$505,A146,Sales!$K$6:$K$505,"Completed"))</x:f>
      </x:c>
      <x:c r="N146" s="28" t="str">
        <x:f>IF(A146="","",IF(K146=0,"",_xlfn.MAXIFS(Sales!$B$6:$B$505,Sales!$C$6:$C$505,A146,Sales!$K$6:$K$505,"Completed")))</x:f>
      </x:c>
    </x:row>
    <x:row r="147" ht="22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t="str">
        <x:f>IF(A147="","",COUNTIFS(Sales!$C$6:$C$505,A147,Sales!$K$6:$K$505,"Completed"))</x:f>
      </x:c>
      <x:c r="L147" t="str">
        <x:f>IF(A147="","",SUMIFS(Sales!$G$6:$G$505,Sales!$C$6:$C$505,A147,Sales!$K$6:$K$505,"Completed"))</x:f>
      </x:c>
      <x:c r="M147" s="24" t="str">
        <x:f>IF(A147="","",SUMIFS(Sales!$J$6:$J$505,Sales!$C$6:$C$505,A147,Sales!$K$6:$K$505,"Completed"))</x:f>
      </x:c>
      <x:c r="N147" s="28" t="str">
        <x:f>IF(A147="","",IF(K147=0,"",_xlfn.MAXIFS(Sales!$B$6:$B$505,Sales!$C$6:$C$505,A147,Sales!$K$6:$K$505,"Completed")))</x:f>
      </x:c>
    </x:row>
    <x:row r="148" ht="22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t="str">
        <x:f>IF(A148="","",COUNTIFS(Sales!$C$6:$C$505,A148,Sales!$K$6:$K$505,"Completed"))</x:f>
      </x:c>
      <x:c r="L148" t="str">
        <x:f>IF(A148="","",SUMIFS(Sales!$G$6:$G$505,Sales!$C$6:$C$505,A148,Sales!$K$6:$K$505,"Completed"))</x:f>
      </x:c>
      <x:c r="M148" s="24" t="str">
        <x:f>IF(A148="","",SUMIFS(Sales!$J$6:$J$505,Sales!$C$6:$C$505,A148,Sales!$K$6:$K$505,"Completed"))</x:f>
      </x:c>
      <x:c r="N148" s="28" t="str">
        <x:f>IF(A148="","",IF(K148=0,"",_xlfn.MAXIFS(Sales!$B$6:$B$505,Sales!$C$6:$C$505,A148,Sales!$K$6:$K$505,"Completed")))</x:f>
      </x:c>
    </x:row>
    <x:row r="149" ht="22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t="str">
        <x:f>IF(A149="","",COUNTIFS(Sales!$C$6:$C$505,A149,Sales!$K$6:$K$505,"Completed"))</x:f>
      </x:c>
      <x:c r="L149" t="str">
        <x:f>IF(A149="","",SUMIFS(Sales!$G$6:$G$505,Sales!$C$6:$C$505,A149,Sales!$K$6:$K$505,"Completed"))</x:f>
      </x:c>
      <x:c r="M149" s="24" t="str">
        <x:f>IF(A149="","",SUMIFS(Sales!$J$6:$J$505,Sales!$C$6:$C$505,A149,Sales!$K$6:$K$505,"Completed"))</x:f>
      </x:c>
      <x:c r="N149" s="28" t="str">
        <x:f>IF(A149="","",IF(K149=0,"",_xlfn.MAXIFS(Sales!$B$6:$B$505,Sales!$C$6:$C$505,A149,Sales!$K$6:$K$505,"Completed")))</x:f>
      </x:c>
    </x:row>
    <x:row r="150" ht="22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t="str">
        <x:f>IF(A150="","",COUNTIFS(Sales!$C$6:$C$505,A150,Sales!$K$6:$K$505,"Completed"))</x:f>
      </x:c>
      <x:c r="L150" t="str">
        <x:f>IF(A150="","",SUMIFS(Sales!$G$6:$G$505,Sales!$C$6:$C$505,A150,Sales!$K$6:$K$505,"Completed"))</x:f>
      </x:c>
      <x:c r="M150" s="24" t="str">
        <x:f>IF(A150="","",SUMIFS(Sales!$J$6:$J$505,Sales!$C$6:$C$505,A150,Sales!$K$6:$K$505,"Completed"))</x:f>
      </x:c>
      <x:c r="N150" s="28" t="str">
        <x:f>IF(A150="","",IF(K150=0,"",_xlfn.MAXIFS(Sales!$B$6:$B$505,Sales!$C$6:$C$505,A150,Sales!$K$6:$K$505,"Completed")))</x:f>
      </x:c>
    </x:row>
    <x:row r="151" ht="22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t="str">
        <x:f>IF(A151="","",COUNTIFS(Sales!$C$6:$C$505,A151,Sales!$K$6:$K$505,"Completed"))</x:f>
      </x:c>
      <x:c r="L151" t="str">
        <x:f>IF(A151="","",SUMIFS(Sales!$G$6:$G$505,Sales!$C$6:$C$505,A151,Sales!$K$6:$K$505,"Completed"))</x:f>
      </x:c>
      <x:c r="M151" s="24" t="str">
        <x:f>IF(A151="","",SUMIFS(Sales!$J$6:$J$505,Sales!$C$6:$C$505,A151,Sales!$K$6:$K$505,"Completed"))</x:f>
      </x:c>
      <x:c r="N151" s="28" t="str">
        <x:f>IF(A151="","",IF(K151=0,"",_xlfn.MAXIFS(Sales!$B$6:$B$505,Sales!$C$6:$C$505,A151,Sales!$K$6:$K$505,"Completed")))</x:f>
      </x:c>
    </x:row>
    <x:row r="152" ht="22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t="str">
        <x:f>IF(A152="","",COUNTIFS(Sales!$C$6:$C$505,A152,Sales!$K$6:$K$505,"Completed"))</x:f>
      </x:c>
      <x:c r="L152" t="str">
        <x:f>IF(A152="","",SUMIFS(Sales!$G$6:$G$505,Sales!$C$6:$C$505,A152,Sales!$K$6:$K$505,"Completed"))</x:f>
      </x:c>
      <x:c r="M152" s="24" t="str">
        <x:f>IF(A152="","",SUMIFS(Sales!$J$6:$J$505,Sales!$C$6:$C$505,A152,Sales!$K$6:$K$505,"Completed"))</x:f>
      </x:c>
      <x:c r="N152" s="28" t="str">
        <x:f>IF(A152="","",IF(K152=0,"",_xlfn.MAXIFS(Sales!$B$6:$B$505,Sales!$C$6:$C$505,A152,Sales!$K$6:$K$505,"Completed")))</x:f>
      </x:c>
    </x:row>
    <x:row r="153" ht="22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t="str">
        <x:f>IF(A153="","",COUNTIFS(Sales!$C$6:$C$505,A153,Sales!$K$6:$K$505,"Completed"))</x:f>
      </x:c>
      <x:c r="L153" t="str">
        <x:f>IF(A153="","",SUMIFS(Sales!$G$6:$G$505,Sales!$C$6:$C$505,A153,Sales!$K$6:$K$505,"Completed"))</x:f>
      </x:c>
      <x:c r="M153" s="24" t="str">
        <x:f>IF(A153="","",SUMIFS(Sales!$J$6:$J$505,Sales!$C$6:$C$505,A153,Sales!$K$6:$K$505,"Completed"))</x:f>
      </x:c>
      <x:c r="N153" s="28" t="str">
        <x:f>IF(A153="","",IF(K153=0,"",_xlfn.MAXIFS(Sales!$B$6:$B$505,Sales!$C$6:$C$505,A153,Sales!$K$6:$K$505,"Completed")))</x:f>
      </x:c>
    </x:row>
    <x:row r="154" ht="22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t="str">
        <x:f>IF(A154="","",COUNTIFS(Sales!$C$6:$C$505,A154,Sales!$K$6:$K$505,"Completed"))</x:f>
      </x:c>
      <x:c r="L154" t="str">
        <x:f>IF(A154="","",SUMIFS(Sales!$G$6:$G$505,Sales!$C$6:$C$505,A154,Sales!$K$6:$K$505,"Completed"))</x:f>
      </x:c>
      <x:c r="M154" s="24" t="str">
        <x:f>IF(A154="","",SUMIFS(Sales!$J$6:$J$505,Sales!$C$6:$C$505,A154,Sales!$K$6:$K$505,"Completed"))</x:f>
      </x:c>
      <x:c r="N154" s="28" t="str">
        <x:f>IF(A154="","",IF(K154=0,"",_xlfn.MAXIFS(Sales!$B$6:$B$505,Sales!$C$6:$C$505,A154,Sales!$K$6:$K$505,"Completed")))</x:f>
      </x:c>
    </x:row>
    <x:row r="155" ht="22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t="str">
        <x:f>IF(A155="","",COUNTIFS(Sales!$C$6:$C$505,A155,Sales!$K$6:$K$505,"Completed"))</x:f>
      </x:c>
      <x:c r="L155" t="str">
        <x:f>IF(A155="","",SUMIFS(Sales!$G$6:$G$505,Sales!$C$6:$C$505,A155,Sales!$K$6:$K$505,"Completed"))</x:f>
      </x:c>
      <x:c r="M155" s="24" t="str">
        <x:f>IF(A155="","",SUMIFS(Sales!$J$6:$J$505,Sales!$C$6:$C$505,A155,Sales!$K$6:$K$505,"Completed"))</x:f>
      </x:c>
      <x:c r="N155" s="28" t="str">
        <x:f>IF(A155="","",IF(K155=0,"",_xlfn.MAXIFS(Sales!$B$6:$B$505,Sales!$C$6:$C$505,A155,Sales!$K$6:$K$505,"Completed")))</x:f>
      </x:c>
    </x:row>
  </x:sheetData>
  <x:mergeCells>
    <x:mergeCell ref="A1:N2"/>
    <x:mergeCell ref="A3:N3"/>
  </x:mergeCells>
  <x:conditionalFormatting sqref="A6:A155">
    <x:cfRule type="expression" dxfId="6" priority="1">
      <x:formula>AND(A6&lt;&gt;"",COUNTIF($A$6:$A$155,A6)&gt;1)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3" hidden="0" customWidth="1"/>
    <x:col min="3" max="3" width="20" hidden="0" customWidth="1"/>
    <x:col min="4" max="4" width="19" hidden="0" customWidth="1"/>
    <x:col min="5" max="5" width="18" hidden="0" customWidth="1"/>
    <x:col min="6" max="6" width="18" hidden="0" customWidth="1"/>
    <x:col min="7" max="7" width="21" hidden="0" customWidth="1"/>
    <x:col min="8" max="8" width="16" hidden="0" customWidth="1"/>
    <x:col min="9" max="9" width="20" hidden="0" customWidth="1"/>
    <x:col min="10" max="10" width="21" hidden="0" customWidth="1"/>
  </x:cols>
  <x:sheetData>
    <x:row r="1" ht="25" customHeight="1">
      <x:c r="A1" s="4" t="str">
        <x:v>MODEL &amp; STOCK MASTER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9" t="str">
        <x:v>Enter each SKU once. Stock updates automatically from completed sales and stock movements.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30" customHeight="1">
      <x:c r="A5" s="15" t="str">
        <x:v>SKU / Model ID</x:v>
      </x:c>
      <x:c r="B5" s="15" t="str">
        <x:v>Product Name</x:v>
      </x:c>
      <x:c r="C5" s="15" t="str">
        <x:v>Category</x:v>
      </x:c>
      <x:c r="D5" s="15" t="str">
        <x:v>Current Price</x:v>
      </x:c>
      <x:c r="E5" s="15" t="str">
        <x:v>Opening Stock</x:v>
      </x:c>
      <x:c r="F5" s="15" t="str">
        <x:v>Reorder Level</x:v>
      </x:c>
      <x:c r="G5" s="15" t="str">
        <x:v>Stock Adjustments</x:v>
      </x:c>
      <x:c r="H5" s="15" t="str">
        <x:v>Units Sold</x:v>
      </x:c>
      <x:c r="I5" s="15" t="str">
        <x:v>Available Stock</x:v>
      </x:c>
      <x:c r="J5" s="15" t="str">
        <x:v>Stock Status</x:v>
      </x:c>
    </x:row>
    <x:row r="6" ht="22" customHeight="1">
      <x:c r="A6" s="20"/>
      <x:c r="B6" s="20"/>
      <x:c r="C6" s="20"/>
      <x:c r="D6" s="25"/>
      <x:c r="E6" s="20"/>
      <x:c r="F6" s="20"/>
      <x:c r="G6" t="str">
        <x:f>IF(A6="","",SUMIF('Stock Movements'!$C$6:$C$305,A6,'Stock Movements'!$E$6:$E$305))</x:f>
      </x:c>
      <x:c r="H6" t="str">
        <x:f>IF(A6="","",SUMIFS(Sales!$G$6:$G$505,Sales!$E$6:$E$505,A6,Sales!$K$6:$K$505,"Completed"))</x:f>
      </x:c>
      <x:c r="I6" t="str">
        <x:f>IF(A6="","",E6+G6-H6)</x:f>
      </x:c>
      <x:c r="J6" t="str">
        <x:f>IF(A6="","",IF(I6&lt;0,"NEGATIVE STOCK",IF(I6&lt;=F6,"LOW STOCK","OK")))</x:f>
      </x:c>
    </x:row>
    <x:row r="7" ht="22" customHeight="1">
      <x:c r="A7" s="20"/>
      <x:c r="B7" s="20"/>
      <x:c r="C7" s="20"/>
      <x:c r="D7" s="25"/>
      <x:c r="E7" s="20"/>
      <x:c r="F7" s="20"/>
      <x:c r="G7" t="str">
        <x:f>IF(A7="","",SUMIF('Stock Movements'!$C$6:$C$305,A7,'Stock Movements'!$E$6:$E$305))</x:f>
      </x:c>
      <x:c r="H7" t="str">
        <x:f>IF(A7="","",SUMIFS(Sales!$G$6:$G$505,Sales!$E$6:$E$505,A7,Sales!$K$6:$K$505,"Completed"))</x:f>
      </x:c>
      <x:c r="I7" t="str">
        <x:f>IF(A7="","",E7+G7-H7)</x:f>
      </x:c>
      <x:c r="J7" t="str">
        <x:f>IF(A7="","",IF(I7&lt;0,"NEGATIVE STOCK",IF(I7&lt;=F7,"LOW STOCK","OK")))</x:f>
      </x:c>
    </x:row>
    <x:row r="8" ht="22" customHeight="1">
      <x:c r="A8" s="20"/>
      <x:c r="B8" s="20"/>
      <x:c r="C8" s="20"/>
      <x:c r="D8" s="25"/>
      <x:c r="E8" s="20"/>
      <x:c r="F8" s="20"/>
      <x:c r="G8" t="str">
        <x:f>IF(A8="","",SUMIF('Stock Movements'!$C$6:$C$305,A8,'Stock Movements'!$E$6:$E$305))</x:f>
      </x:c>
      <x:c r="H8" t="str">
        <x:f>IF(A8="","",SUMIFS(Sales!$G$6:$G$505,Sales!$E$6:$E$505,A8,Sales!$K$6:$K$505,"Completed"))</x:f>
      </x:c>
      <x:c r="I8" t="str">
        <x:f>IF(A8="","",E8+G8-H8)</x:f>
      </x:c>
      <x:c r="J8" t="str">
        <x:f>IF(A8="","",IF(I8&lt;0,"NEGATIVE STOCK",IF(I8&lt;=F8,"LOW STOCK","OK")))</x:f>
      </x:c>
    </x:row>
    <x:row r="9" ht="22" customHeight="1">
      <x:c r="A9" s="20"/>
      <x:c r="B9" s="20"/>
      <x:c r="C9" s="20"/>
      <x:c r="D9" s="25"/>
      <x:c r="E9" s="20"/>
      <x:c r="F9" s="20"/>
      <x:c r="G9" t="str">
        <x:f>IF(A9="","",SUMIF('Stock Movements'!$C$6:$C$305,A9,'Stock Movements'!$E$6:$E$305))</x:f>
      </x:c>
      <x:c r="H9" t="str">
        <x:f>IF(A9="","",SUMIFS(Sales!$G$6:$G$505,Sales!$E$6:$E$505,A9,Sales!$K$6:$K$505,"Completed"))</x:f>
      </x:c>
      <x:c r="I9" t="str">
        <x:f>IF(A9="","",E9+G9-H9)</x:f>
      </x:c>
      <x:c r="J9" t="str">
        <x:f>IF(A9="","",IF(I9&lt;0,"NEGATIVE STOCK",IF(I9&lt;=F9,"LOW STOCK","OK")))</x:f>
      </x:c>
    </x:row>
    <x:row r="10" ht="22" customHeight="1">
      <x:c r="A10" s="20"/>
      <x:c r="B10" s="20"/>
      <x:c r="C10" s="20"/>
      <x:c r="D10" s="25"/>
      <x:c r="E10" s="20"/>
      <x:c r="F10" s="20"/>
      <x:c r="G10" t="str">
        <x:f>IF(A10="","",SUMIF('Stock Movements'!$C$6:$C$305,A10,'Stock Movements'!$E$6:$E$305))</x:f>
      </x:c>
      <x:c r="H10" t="str">
        <x:f>IF(A10="","",SUMIFS(Sales!$G$6:$G$505,Sales!$E$6:$E$505,A10,Sales!$K$6:$K$505,"Completed"))</x:f>
      </x:c>
      <x:c r="I10" t="str">
        <x:f>IF(A10="","",E10+G10-H10)</x:f>
      </x:c>
      <x:c r="J10" t="str">
        <x:f>IF(A10="","",IF(I10&lt;0,"NEGATIVE STOCK",IF(I10&lt;=F10,"LOW STOCK","OK")))</x:f>
      </x:c>
    </x:row>
    <x:row r="11" ht="22" customHeight="1">
      <x:c r="A11" s="20"/>
      <x:c r="B11" s="20"/>
      <x:c r="C11" s="20"/>
      <x:c r="D11" s="25"/>
      <x:c r="E11" s="20"/>
      <x:c r="F11" s="20"/>
      <x:c r="G11" t="str">
        <x:f>IF(A11="","",SUMIF('Stock Movements'!$C$6:$C$305,A11,'Stock Movements'!$E$6:$E$305))</x:f>
      </x:c>
      <x:c r="H11" t="str">
        <x:f>IF(A11="","",SUMIFS(Sales!$G$6:$G$505,Sales!$E$6:$E$505,A11,Sales!$K$6:$K$505,"Completed"))</x:f>
      </x:c>
      <x:c r="I11" t="str">
        <x:f>IF(A11="","",E11+G11-H11)</x:f>
      </x:c>
      <x:c r="J11" t="str">
        <x:f>IF(A11="","",IF(I11&lt;0,"NEGATIVE STOCK",IF(I11&lt;=F11,"LOW STOCK","OK")))</x:f>
      </x:c>
    </x:row>
    <x:row r="12" ht="22" customHeight="1">
      <x:c r="A12" s="20"/>
      <x:c r="B12" s="20"/>
      <x:c r="C12" s="20"/>
      <x:c r="D12" s="25"/>
      <x:c r="E12" s="20"/>
      <x:c r="F12" s="20"/>
      <x:c r="G12" t="str">
        <x:f>IF(A12="","",SUMIF('Stock Movements'!$C$6:$C$305,A12,'Stock Movements'!$E$6:$E$305))</x:f>
      </x:c>
      <x:c r="H12" t="str">
        <x:f>IF(A12="","",SUMIFS(Sales!$G$6:$G$505,Sales!$E$6:$E$505,A12,Sales!$K$6:$K$505,"Completed"))</x:f>
      </x:c>
      <x:c r="I12" t="str">
        <x:f>IF(A12="","",E12+G12-H12)</x:f>
      </x:c>
      <x:c r="J12" t="str">
        <x:f>IF(A12="","",IF(I12&lt;0,"NEGATIVE STOCK",IF(I12&lt;=F12,"LOW STOCK","OK")))</x:f>
      </x:c>
    </x:row>
    <x:row r="13" ht="22" customHeight="1">
      <x:c r="A13" s="20"/>
      <x:c r="B13" s="20"/>
      <x:c r="C13" s="20"/>
      <x:c r="D13" s="25"/>
      <x:c r="E13" s="20"/>
      <x:c r="F13" s="20"/>
      <x:c r="G13" t="str">
        <x:f>IF(A13="","",SUMIF('Stock Movements'!$C$6:$C$305,A13,'Stock Movements'!$E$6:$E$305))</x:f>
      </x:c>
      <x:c r="H13" t="str">
        <x:f>IF(A13="","",SUMIFS(Sales!$G$6:$G$505,Sales!$E$6:$E$505,A13,Sales!$K$6:$K$505,"Completed"))</x:f>
      </x:c>
      <x:c r="I13" t="str">
        <x:f>IF(A13="","",E13+G13-H13)</x:f>
      </x:c>
      <x:c r="J13" t="str">
        <x:f>IF(A13="","",IF(I13&lt;0,"NEGATIVE STOCK",IF(I13&lt;=F13,"LOW STOCK","OK")))</x:f>
      </x:c>
    </x:row>
    <x:row r="14" ht="22" customHeight="1">
      <x:c r="A14" s="20"/>
      <x:c r="B14" s="20"/>
      <x:c r="C14" s="20"/>
      <x:c r="D14" s="25"/>
      <x:c r="E14" s="20"/>
      <x:c r="F14" s="20"/>
      <x:c r="G14" t="str">
        <x:f>IF(A14="","",SUMIF('Stock Movements'!$C$6:$C$305,A14,'Stock Movements'!$E$6:$E$305))</x:f>
      </x:c>
      <x:c r="H14" t="str">
        <x:f>IF(A14="","",SUMIFS(Sales!$G$6:$G$505,Sales!$E$6:$E$505,A14,Sales!$K$6:$K$505,"Completed"))</x:f>
      </x:c>
      <x:c r="I14" t="str">
        <x:f>IF(A14="","",E14+G14-H14)</x:f>
      </x:c>
      <x:c r="J14" t="str">
        <x:f>IF(A14="","",IF(I14&lt;0,"NEGATIVE STOCK",IF(I14&lt;=F14,"LOW STOCK","OK")))</x:f>
      </x:c>
    </x:row>
    <x:row r="15" ht="22" customHeight="1">
      <x:c r="A15" s="20"/>
      <x:c r="B15" s="20"/>
      <x:c r="C15" s="20"/>
      <x:c r="D15" s="25"/>
      <x:c r="E15" s="20"/>
      <x:c r="F15" s="20"/>
      <x:c r="G15" t="str">
        <x:f>IF(A15="","",SUMIF('Stock Movements'!$C$6:$C$305,A15,'Stock Movements'!$E$6:$E$305))</x:f>
      </x:c>
      <x:c r="H15" t="str">
        <x:f>IF(A15="","",SUMIFS(Sales!$G$6:$G$505,Sales!$E$6:$E$505,A15,Sales!$K$6:$K$505,"Completed"))</x:f>
      </x:c>
      <x:c r="I15" t="str">
        <x:f>IF(A15="","",E15+G15-H15)</x:f>
      </x:c>
      <x:c r="J15" t="str">
        <x:f>IF(A15="","",IF(I15&lt;0,"NEGATIVE STOCK",IF(I15&lt;=F15,"LOW STOCK","OK")))</x:f>
      </x:c>
    </x:row>
    <x:row r="16" ht="22" customHeight="1">
      <x:c r="A16" s="20"/>
      <x:c r="B16" s="20"/>
      <x:c r="C16" s="20"/>
      <x:c r="D16" s="25"/>
      <x:c r="E16" s="20"/>
      <x:c r="F16" s="20"/>
      <x:c r="G16" t="str">
        <x:f>IF(A16="","",SUMIF('Stock Movements'!$C$6:$C$305,A16,'Stock Movements'!$E$6:$E$305))</x:f>
      </x:c>
      <x:c r="H16" t="str">
        <x:f>IF(A16="","",SUMIFS(Sales!$G$6:$G$505,Sales!$E$6:$E$505,A16,Sales!$K$6:$K$505,"Completed"))</x:f>
      </x:c>
      <x:c r="I16" t="str">
        <x:f>IF(A16="","",E16+G16-H16)</x:f>
      </x:c>
      <x:c r="J16" t="str">
        <x:f>IF(A16="","",IF(I16&lt;0,"NEGATIVE STOCK",IF(I16&lt;=F16,"LOW STOCK","OK")))</x:f>
      </x:c>
    </x:row>
    <x:row r="17" ht="22" customHeight="1">
      <x:c r="A17" s="20"/>
      <x:c r="B17" s="20"/>
      <x:c r="C17" s="20"/>
      <x:c r="D17" s="25"/>
      <x:c r="E17" s="20"/>
      <x:c r="F17" s="20"/>
      <x:c r="G17" t="str">
        <x:f>IF(A17="","",SUMIF('Stock Movements'!$C$6:$C$305,A17,'Stock Movements'!$E$6:$E$305))</x:f>
      </x:c>
      <x:c r="H17" t="str">
        <x:f>IF(A17="","",SUMIFS(Sales!$G$6:$G$505,Sales!$E$6:$E$505,A17,Sales!$K$6:$K$505,"Completed"))</x:f>
      </x:c>
      <x:c r="I17" t="str">
        <x:f>IF(A17="","",E17+G17-H17)</x:f>
      </x:c>
      <x:c r="J17" t="str">
        <x:f>IF(A17="","",IF(I17&lt;0,"NEGATIVE STOCK",IF(I17&lt;=F17,"LOW STOCK","OK")))</x:f>
      </x:c>
    </x:row>
    <x:row r="18" ht="22" customHeight="1">
      <x:c r="A18" s="20"/>
      <x:c r="B18" s="20"/>
      <x:c r="C18" s="20"/>
      <x:c r="D18" s="25"/>
      <x:c r="E18" s="20"/>
      <x:c r="F18" s="20"/>
      <x:c r="G18" t="str">
        <x:f>IF(A18="","",SUMIF('Stock Movements'!$C$6:$C$305,A18,'Stock Movements'!$E$6:$E$305))</x:f>
      </x:c>
      <x:c r="H18" t="str">
        <x:f>IF(A18="","",SUMIFS(Sales!$G$6:$G$505,Sales!$E$6:$E$505,A18,Sales!$K$6:$K$505,"Completed"))</x:f>
      </x:c>
      <x:c r="I18" t="str">
        <x:f>IF(A18="","",E18+G18-H18)</x:f>
      </x:c>
      <x:c r="J18" t="str">
        <x:f>IF(A18="","",IF(I18&lt;0,"NEGATIVE STOCK",IF(I18&lt;=F18,"LOW STOCK","OK")))</x:f>
      </x:c>
    </x:row>
    <x:row r="19" ht="22" customHeight="1">
      <x:c r="A19" s="20"/>
      <x:c r="B19" s="20"/>
      <x:c r="C19" s="20"/>
      <x:c r="D19" s="25"/>
      <x:c r="E19" s="20"/>
      <x:c r="F19" s="20"/>
      <x:c r="G19" t="str">
        <x:f>IF(A19="","",SUMIF('Stock Movements'!$C$6:$C$305,A19,'Stock Movements'!$E$6:$E$305))</x:f>
      </x:c>
      <x:c r="H19" t="str">
        <x:f>IF(A19="","",SUMIFS(Sales!$G$6:$G$505,Sales!$E$6:$E$505,A19,Sales!$K$6:$K$505,"Completed"))</x:f>
      </x:c>
      <x:c r="I19" t="str">
        <x:f>IF(A19="","",E19+G19-H19)</x:f>
      </x:c>
      <x:c r="J19" t="str">
        <x:f>IF(A19="","",IF(I19&lt;0,"NEGATIVE STOCK",IF(I19&lt;=F19,"LOW STOCK","OK")))</x:f>
      </x:c>
    </x:row>
    <x:row r="20" ht="22" customHeight="1">
      <x:c r="A20" s="20"/>
      <x:c r="B20" s="20"/>
      <x:c r="C20" s="20"/>
      <x:c r="D20" s="25"/>
      <x:c r="E20" s="20"/>
      <x:c r="F20" s="20"/>
      <x:c r="G20" t="str">
        <x:f>IF(A20="","",SUMIF('Stock Movements'!$C$6:$C$305,A20,'Stock Movements'!$E$6:$E$305))</x:f>
      </x:c>
      <x:c r="H20" t="str">
        <x:f>IF(A20="","",SUMIFS(Sales!$G$6:$G$505,Sales!$E$6:$E$505,A20,Sales!$K$6:$K$505,"Completed"))</x:f>
      </x:c>
      <x:c r="I20" t="str">
        <x:f>IF(A20="","",E20+G20-H20)</x:f>
      </x:c>
      <x:c r="J20" t="str">
        <x:f>IF(A20="","",IF(I20&lt;0,"NEGATIVE STOCK",IF(I20&lt;=F20,"LOW STOCK","OK")))</x:f>
      </x:c>
    </x:row>
    <x:row r="21" ht="22" customHeight="1">
      <x:c r="A21" s="20"/>
      <x:c r="B21" s="20"/>
      <x:c r="C21" s="20"/>
      <x:c r="D21" s="25"/>
      <x:c r="E21" s="20"/>
      <x:c r="F21" s="20"/>
      <x:c r="G21" t="str">
        <x:f>IF(A21="","",SUMIF('Stock Movements'!$C$6:$C$305,A21,'Stock Movements'!$E$6:$E$305))</x:f>
      </x:c>
      <x:c r="H21" t="str">
        <x:f>IF(A21="","",SUMIFS(Sales!$G$6:$G$505,Sales!$E$6:$E$505,A21,Sales!$K$6:$K$505,"Completed"))</x:f>
      </x:c>
      <x:c r="I21" t="str">
        <x:f>IF(A21="","",E21+G21-H21)</x:f>
      </x:c>
      <x:c r="J21" t="str">
        <x:f>IF(A21="","",IF(I21&lt;0,"NEGATIVE STOCK",IF(I21&lt;=F21,"LOW STOCK","OK")))</x:f>
      </x:c>
    </x:row>
    <x:row r="22" ht="22" customHeight="1">
      <x:c r="A22" s="20"/>
      <x:c r="B22" s="20"/>
      <x:c r="C22" s="20"/>
      <x:c r="D22" s="25"/>
      <x:c r="E22" s="20"/>
      <x:c r="F22" s="20"/>
      <x:c r="G22" t="str">
        <x:f>IF(A22="","",SUMIF('Stock Movements'!$C$6:$C$305,A22,'Stock Movements'!$E$6:$E$305))</x:f>
      </x:c>
      <x:c r="H22" t="str">
        <x:f>IF(A22="","",SUMIFS(Sales!$G$6:$G$505,Sales!$E$6:$E$505,A22,Sales!$K$6:$K$505,"Completed"))</x:f>
      </x:c>
      <x:c r="I22" t="str">
        <x:f>IF(A22="","",E22+G22-H22)</x:f>
      </x:c>
      <x:c r="J22" t="str">
        <x:f>IF(A22="","",IF(I22&lt;0,"NEGATIVE STOCK",IF(I22&lt;=F22,"LOW STOCK","OK")))</x:f>
      </x:c>
    </x:row>
    <x:row r="23" ht="22" customHeight="1">
      <x:c r="A23" s="20"/>
      <x:c r="B23" s="20"/>
      <x:c r="C23" s="20"/>
      <x:c r="D23" s="25"/>
      <x:c r="E23" s="20"/>
      <x:c r="F23" s="20"/>
      <x:c r="G23" t="str">
        <x:f>IF(A23="","",SUMIF('Stock Movements'!$C$6:$C$305,A23,'Stock Movements'!$E$6:$E$305))</x:f>
      </x:c>
      <x:c r="H23" t="str">
        <x:f>IF(A23="","",SUMIFS(Sales!$G$6:$G$505,Sales!$E$6:$E$505,A23,Sales!$K$6:$K$505,"Completed"))</x:f>
      </x:c>
      <x:c r="I23" t="str">
        <x:f>IF(A23="","",E23+G23-H23)</x:f>
      </x:c>
      <x:c r="J23" t="str">
        <x:f>IF(A23="","",IF(I23&lt;0,"NEGATIVE STOCK",IF(I23&lt;=F23,"LOW STOCK","OK")))</x:f>
      </x:c>
    </x:row>
    <x:row r="24" ht="22" customHeight="1">
      <x:c r="A24" s="20"/>
      <x:c r="B24" s="20"/>
      <x:c r="C24" s="20"/>
      <x:c r="D24" s="25"/>
      <x:c r="E24" s="20"/>
      <x:c r="F24" s="20"/>
      <x:c r="G24" t="str">
        <x:f>IF(A24="","",SUMIF('Stock Movements'!$C$6:$C$305,A24,'Stock Movements'!$E$6:$E$305))</x:f>
      </x:c>
      <x:c r="H24" t="str">
        <x:f>IF(A24="","",SUMIFS(Sales!$G$6:$G$505,Sales!$E$6:$E$505,A24,Sales!$K$6:$K$505,"Completed"))</x:f>
      </x:c>
      <x:c r="I24" t="str">
        <x:f>IF(A24="","",E24+G24-H24)</x:f>
      </x:c>
      <x:c r="J24" t="str">
        <x:f>IF(A24="","",IF(I24&lt;0,"NEGATIVE STOCK",IF(I24&lt;=F24,"LOW STOCK","OK")))</x:f>
      </x:c>
    </x:row>
    <x:row r="25" ht="22" customHeight="1">
      <x:c r="A25" s="20"/>
      <x:c r="B25" s="20"/>
      <x:c r="C25" s="20"/>
      <x:c r="D25" s="25"/>
      <x:c r="E25" s="20"/>
      <x:c r="F25" s="20"/>
      <x:c r="G25" t="str">
        <x:f>IF(A25="","",SUMIF('Stock Movements'!$C$6:$C$305,A25,'Stock Movements'!$E$6:$E$305))</x:f>
      </x:c>
      <x:c r="H25" t="str">
        <x:f>IF(A25="","",SUMIFS(Sales!$G$6:$G$505,Sales!$E$6:$E$505,A25,Sales!$K$6:$K$505,"Completed"))</x:f>
      </x:c>
      <x:c r="I25" t="str">
        <x:f>IF(A25="","",E25+G25-H25)</x:f>
      </x:c>
      <x:c r="J25" t="str">
        <x:f>IF(A25="","",IF(I25&lt;0,"NEGATIVE STOCK",IF(I25&lt;=F25,"LOW STOCK","OK")))</x:f>
      </x:c>
    </x:row>
    <x:row r="26" ht="22" customHeight="1">
      <x:c r="A26" s="20"/>
      <x:c r="B26" s="20"/>
      <x:c r="C26" s="20"/>
      <x:c r="D26" s="25"/>
      <x:c r="E26" s="20"/>
      <x:c r="F26" s="20"/>
      <x:c r="G26" t="str">
        <x:f>IF(A26="","",SUMIF('Stock Movements'!$C$6:$C$305,A26,'Stock Movements'!$E$6:$E$305))</x:f>
      </x:c>
      <x:c r="H26" t="str">
        <x:f>IF(A26="","",SUMIFS(Sales!$G$6:$G$505,Sales!$E$6:$E$505,A26,Sales!$K$6:$K$505,"Completed"))</x:f>
      </x:c>
      <x:c r="I26" t="str">
        <x:f>IF(A26="","",E26+G26-H26)</x:f>
      </x:c>
      <x:c r="J26" t="str">
        <x:f>IF(A26="","",IF(I26&lt;0,"NEGATIVE STOCK",IF(I26&lt;=F26,"LOW STOCK","OK")))</x:f>
      </x:c>
    </x:row>
    <x:row r="27" ht="22" customHeight="1">
      <x:c r="A27" s="20"/>
      <x:c r="B27" s="20"/>
      <x:c r="C27" s="20"/>
      <x:c r="D27" s="25"/>
      <x:c r="E27" s="20"/>
      <x:c r="F27" s="20"/>
      <x:c r="G27" t="str">
        <x:f>IF(A27="","",SUMIF('Stock Movements'!$C$6:$C$305,A27,'Stock Movements'!$E$6:$E$305))</x:f>
      </x:c>
      <x:c r="H27" t="str">
        <x:f>IF(A27="","",SUMIFS(Sales!$G$6:$G$505,Sales!$E$6:$E$505,A27,Sales!$K$6:$K$505,"Completed"))</x:f>
      </x:c>
      <x:c r="I27" t="str">
        <x:f>IF(A27="","",E27+G27-H27)</x:f>
      </x:c>
      <x:c r="J27" t="str">
        <x:f>IF(A27="","",IF(I27&lt;0,"NEGATIVE STOCK",IF(I27&lt;=F27,"LOW STOCK","OK")))</x:f>
      </x:c>
    </x:row>
    <x:row r="28" ht="22" customHeight="1">
      <x:c r="A28" s="20"/>
      <x:c r="B28" s="20"/>
      <x:c r="C28" s="20"/>
      <x:c r="D28" s="25"/>
      <x:c r="E28" s="20"/>
      <x:c r="F28" s="20"/>
      <x:c r="G28" t="str">
        <x:f>IF(A28="","",SUMIF('Stock Movements'!$C$6:$C$305,A28,'Stock Movements'!$E$6:$E$305))</x:f>
      </x:c>
      <x:c r="H28" t="str">
        <x:f>IF(A28="","",SUMIFS(Sales!$G$6:$G$505,Sales!$E$6:$E$505,A28,Sales!$K$6:$K$505,"Completed"))</x:f>
      </x:c>
      <x:c r="I28" t="str">
        <x:f>IF(A28="","",E28+G28-H28)</x:f>
      </x:c>
      <x:c r="J28" t="str">
        <x:f>IF(A28="","",IF(I28&lt;0,"NEGATIVE STOCK",IF(I28&lt;=F28,"LOW STOCK","OK")))</x:f>
      </x:c>
    </x:row>
    <x:row r="29" ht="22" customHeight="1">
      <x:c r="A29" s="20"/>
      <x:c r="B29" s="20"/>
      <x:c r="C29" s="20"/>
      <x:c r="D29" s="25"/>
      <x:c r="E29" s="20"/>
      <x:c r="F29" s="20"/>
      <x:c r="G29" t="str">
        <x:f>IF(A29="","",SUMIF('Stock Movements'!$C$6:$C$305,A29,'Stock Movements'!$E$6:$E$305))</x:f>
      </x:c>
      <x:c r="H29" t="str">
        <x:f>IF(A29="","",SUMIFS(Sales!$G$6:$G$505,Sales!$E$6:$E$505,A29,Sales!$K$6:$K$505,"Completed"))</x:f>
      </x:c>
      <x:c r="I29" t="str">
        <x:f>IF(A29="","",E29+G29-H29)</x:f>
      </x:c>
      <x:c r="J29" t="str">
        <x:f>IF(A29="","",IF(I29&lt;0,"NEGATIVE STOCK",IF(I29&lt;=F29,"LOW STOCK","OK")))</x:f>
      </x:c>
    </x:row>
    <x:row r="30" ht="22" customHeight="1">
      <x:c r="A30" s="20"/>
      <x:c r="B30" s="20"/>
      <x:c r="C30" s="20"/>
      <x:c r="D30" s="25"/>
      <x:c r="E30" s="20"/>
      <x:c r="F30" s="20"/>
      <x:c r="G30" t="str">
        <x:f>IF(A30="","",SUMIF('Stock Movements'!$C$6:$C$305,A30,'Stock Movements'!$E$6:$E$305))</x:f>
      </x:c>
      <x:c r="H30" t="str">
        <x:f>IF(A30="","",SUMIFS(Sales!$G$6:$G$505,Sales!$E$6:$E$505,A30,Sales!$K$6:$K$505,"Completed"))</x:f>
      </x:c>
      <x:c r="I30" t="str">
        <x:f>IF(A30="","",E30+G30-H30)</x:f>
      </x:c>
      <x:c r="J30" t="str">
        <x:f>IF(A30="","",IF(I30&lt;0,"NEGATIVE STOCK",IF(I30&lt;=F30,"LOW STOCK","OK")))</x:f>
      </x:c>
    </x:row>
    <x:row r="31" ht="22" customHeight="1">
      <x:c r="A31" s="20"/>
      <x:c r="B31" s="20"/>
      <x:c r="C31" s="20"/>
      <x:c r="D31" s="25"/>
      <x:c r="E31" s="20"/>
      <x:c r="F31" s="20"/>
      <x:c r="G31" t="str">
        <x:f>IF(A31="","",SUMIF('Stock Movements'!$C$6:$C$305,A31,'Stock Movements'!$E$6:$E$305))</x:f>
      </x:c>
      <x:c r="H31" t="str">
        <x:f>IF(A31="","",SUMIFS(Sales!$G$6:$G$505,Sales!$E$6:$E$505,A31,Sales!$K$6:$K$505,"Completed"))</x:f>
      </x:c>
      <x:c r="I31" t="str">
        <x:f>IF(A31="","",E31+G31-H31)</x:f>
      </x:c>
      <x:c r="J31" t="str">
        <x:f>IF(A31="","",IF(I31&lt;0,"NEGATIVE STOCK",IF(I31&lt;=F31,"LOW STOCK","OK")))</x:f>
      </x:c>
    </x:row>
    <x:row r="32" ht="22" customHeight="1">
      <x:c r="A32" s="20"/>
      <x:c r="B32" s="20"/>
      <x:c r="C32" s="20"/>
      <x:c r="D32" s="25"/>
      <x:c r="E32" s="20"/>
      <x:c r="F32" s="20"/>
      <x:c r="G32" t="str">
        <x:f>IF(A32="","",SUMIF('Stock Movements'!$C$6:$C$305,A32,'Stock Movements'!$E$6:$E$305))</x:f>
      </x:c>
      <x:c r="H32" t="str">
        <x:f>IF(A32="","",SUMIFS(Sales!$G$6:$G$505,Sales!$E$6:$E$505,A32,Sales!$K$6:$K$505,"Completed"))</x:f>
      </x:c>
      <x:c r="I32" t="str">
        <x:f>IF(A32="","",E32+G32-H32)</x:f>
      </x:c>
      <x:c r="J32" t="str">
        <x:f>IF(A32="","",IF(I32&lt;0,"NEGATIVE STOCK",IF(I32&lt;=F32,"LOW STOCK","OK")))</x:f>
      </x:c>
    </x:row>
    <x:row r="33" ht="22" customHeight="1">
      <x:c r="A33" s="20"/>
      <x:c r="B33" s="20"/>
      <x:c r="C33" s="20"/>
      <x:c r="D33" s="25"/>
      <x:c r="E33" s="20"/>
      <x:c r="F33" s="20"/>
      <x:c r="G33" t="str">
        <x:f>IF(A33="","",SUMIF('Stock Movements'!$C$6:$C$305,A33,'Stock Movements'!$E$6:$E$305))</x:f>
      </x:c>
      <x:c r="H33" t="str">
        <x:f>IF(A33="","",SUMIFS(Sales!$G$6:$G$505,Sales!$E$6:$E$505,A33,Sales!$K$6:$K$505,"Completed"))</x:f>
      </x:c>
      <x:c r="I33" t="str">
        <x:f>IF(A33="","",E33+G33-H33)</x:f>
      </x:c>
      <x:c r="J33" t="str">
        <x:f>IF(A33="","",IF(I33&lt;0,"NEGATIVE STOCK",IF(I33&lt;=F33,"LOW STOCK","OK")))</x:f>
      </x:c>
    </x:row>
    <x:row r="34" ht="22" customHeight="1">
      <x:c r="A34" s="20"/>
      <x:c r="B34" s="20"/>
      <x:c r="C34" s="20"/>
      <x:c r="D34" s="25"/>
      <x:c r="E34" s="20"/>
      <x:c r="F34" s="20"/>
      <x:c r="G34" t="str">
        <x:f>IF(A34="","",SUMIF('Stock Movements'!$C$6:$C$305,A34,'Stock Movements'!$E$6:$E$305))</x:f>
      </x:c>
      <x:c r="H34" t="str">
        <x:f>IF(A34="","",SUMIFS(Sales!$G$6:$G$505,Sales!$E$6:$E$505,A34,Sales!$K$6:$K$505,"Completed"))</x:f>
      </x:c>
      <x:c r="I34" t="str">
        <x:f>IF(A34="","",E34+G34-H34)</x:f>
      </x:c>
      <x:c r="J34" t="str">
        <x:f>IF(A34="","",IF(I34&lt;0,"NEGATIVE STOCK",IF(I34&lt;=F34,"LOW STOCK","OK")))</x:f>
      </x:c>
    </x:row>
    <x:row r="35" ht="22" customHeight="1">
      <x:c r="A35" s="20"/>
      <x:c r="B35" s="20"/>
      <x:c r="C35" s="20"/>
      <x:c r="D35" s="25"/>
      <x:c r="E35" s="20"/>
      <x:c r="F35" s="20"/>
      <x:c r="G35" t="str">
        <x:f>IF(A35="","",SUMIF('Stock Movements'!$C$6:$C$305,A35,'Stock Movements'!$E$6:$E$305))</x:f>
      </x:c>
      <x:c r="H35" t="str">
        <x:f>IF(A35="","",SUMIFS(Sales!$G$6:$G$505,Sales!$E$6:$E$505,A35,Sales!$K$6:$K$505,"Completed"))</x:f>
      </x:c>
      <x:c r="I35" t="str">
        <x:f>IF(A35="","",E35+G35-H35)</x:f>
      </x:c>
      <x:c r="J35" t="str">
        <x:f>IF(A35="","",IF(I35&lt;0,"NEGATIVE STOCK",IF(I35&lt;=F35,"LOW STOCK","OK")))</x:f>
      </x:c>
    </x:row>
    <x:row r="36" ht="22" customHeight="1">
      <x:c r="A36" s="20"/>
      <x:c r="B36" s="20"/>
      <x:c r="C36" s="20"/>
      <x:c r="D36" s="25"/>
      <x:c r="E36" s="20"/>
      <x:c r="F36" s="20"/>
      <x:c r="G36" t="str">
        <x:f>IF(A36="","",SUMIF('Stock Movements'!$C$6:$C$305,A36,'Stock Movements'!$E$6:$E$305))</x:f>
      </x:c>
      <x:c r="H36" t="str">
        <x:f>IF(A36="","",SUMIFS(Sales!$G$6:$G$505,Sales!$E$6:$E$505,A36,Sales!$K$6:$K$505,"Completed"))</x:f>
      </x:c>
      <x:c r="I36" t="str">
        <x:f>IF(A36="","",E36+G36-H36)</x:f>
      </x:c>
      <x:c r="J36" t="str">
        <x:f>IF(A36="","",IF(I36&lt;0,"NEGATIVE STOCK",IF(I36&lt;=F36,"LOW STOCK","OK")))</x:f>
      </x:c>
    </x:row>
    <x:row r="37" ht="22" customHeight="1">
      <x:c r="A37" s="20"/>
      <x:c r="B37" s="20"/>
      <x:c r="C37" s="20"/>
      <x:c r="D37" s="25"/>
      <x:c r="E37" s="20"/>
      <x:c r="F37" s="20"/>
      <x:c r="G37" t="str">
        <x:f>IF(A37="","",SUMIF('Stock Movements'!$C$6:$C$305,A37,'Stock Movements'!$E$6:$E$305))</x:f>
      </x:c>
      <x:c r="H37" t="str">
        <x:f>IF(A37="","",SUMIFS(Sales!$G$6:$G$505,Sales!$E$6:$E$505,A37,Sales!$K$6:$K$505,"Completed"))</x:f>
      </x:c>
      <x:c r="I37" t="str">
        <x:f>IF(A37="","",E37+G37-H37)</x:f>
      </x:c>
      <x:c r="J37" t="str">
        <x:f>IF(A37="","",IF(I37&lt;0,"NEGATIVE STOCK",IF(I37&lt;=F37,"LOW STOCK","OK")))</x:f>
      </x:c>
    </x:row>
    <x:row r="38" ht="22" customHeight="1">
      <x:c r="A38" s="20"/>
      <x:c r="B38" s="20"/>
      <x:c r="C38" s="20"/>
      <x:c r="D38" s="25"/>
      <x:c r="E38" s="20"/>
      <x:c r="F38" s="20"/>
      <x:c r="G38" t="str">
        <x:f>IF(A38="","",SUMIF('Stock Movements'!$C$6:$C$305,A38,'Stock Movements'!$E$6:$E$305))</x:f>
      </x:c>
      <x:c r="H38" t="str">
        <x:f>IF(A38="","",SUMIFS(Sales!$G$6:$G$505,Sales!$E$6:$E$505,A38,Sales!$K$6:$K$505,"Completed"))</x:f>
      </x:c>
      <x:c r="I38" t="str">
        <x:f>IF(A38="","",E38+G38-H38)</x:f>
      </x:c>
      <x:c r="J38" t="str">
        <x:f>IF(A38="","",IF(I38&lt;0,"NEGATIVE STOCK",IF(I38&lt;=F38,"LOW STOCK","OK")))</x:f>
      </x:c>
    </x:row>
    <x:row r="39" ht="22" customHeight="1">
      <x:c r="A39" s="20"/>
      <x:c r="B39" s="20"/>
      <x:c r="C39" s="20"/>
      <x:c r="D39" s="25"/>
      <x:c r="E39" s="20"/>
      <x:c r="F39" s="20"/>
      <x:c r="G39" t="str">
        <x:f>IF(A39="","",SUMIF('Stock Movements'!$C$6:$C$305,A39,'Stock Movements'!$E$6:$E$305))</x:f>
      </x:c>
      <x:c r="H39" t="str">
        <x:f>IF(A39="","",SUMIFS(Sales!$G$6:$G$505,Sales!$E$6:$E$505,A39,Sales!$K$6:$K$505,"Completed"))</x:f>
      </x:c>
      <x:c r="I39" t="str">
        <x:f>IF(A39="","",E39+G39-H39)</x:f>
      </x:c>
      <x:c r="J39" t="str">
        <x:f>IF(A39="","",IF(I39&lt;0,"NEGATIVE STOCK",IF(I39&lt;=F39,"LOW STOCK","OK")))</x:f>
      </x:c>
    </x:row>
    <x:row r="40" ht="22" customHeight="1">
      <x:c r="A40" s="20"/>
      <x:c r="B40" s="20"/>
      <x:c r="C40" s="20"/>
      <x:c r="D40" s="25"/>
      <x:c r="E40" s="20"/>
      <x:c r="F40" s="20"/>
      <x:c r="G40" t="str">
        <x:f>IF(A40="","",SUMIF('Stock Movements'!$C$6:$C$305,A40,'Stock Movements'!$E$6:$E$305))</x:f>
      </x:c>
      <x:c r="H40" t="str">
        <x:f>IF(A40="","",SUMIFS(Sales!$G$6:$G$505,Sales!$E$6:$E$505,A40,Sales!$K$6:$K$505,"Completed"))</x:f>
      </x:c>
      <x:c r="I40" t="str">
        <x:f>IF(A40="","",E40+G40-H40)</x:f>
      </x:c>
      <x:c r="J40" t="str">
        <x:f>IF(A40="","",IF(I40&lt;0,"NEGATIVE STOCK",IF(I40&lt;=F40,"LOW STOCK","OK")))</x:f>
      </x:c>
    </x:row>
    <x:row r="41" ht="22" customHeight="1">
      <x:c r="A41" s="20"/>
      <x:c r="B41" s="20"/>
      <x:c r="C41" s="20"/>
      <x:c r="D41" s="25"/>
      <x:c r="E41" s="20"/>
      <x:c r="F41" s="20"/>
      <x:c r="G41" t="str">
        <x:f>IF(A41="","",SUMIF('Stock Movements'!$C$6:$C$305,A41,'Stock Movements'!$E$6:$E$305))</x:f>
      </x:c>
      <x:c r="H41" t="str">
        <x:f>IF(A41="","",SUMIFS(Sales!$G$6:$G$505,Sales!$E$6:$E$505,A41,Sales!$K$6:$K$505,"Completed"))</x:f>
      </x:c>
      <x:c r="I41" t="str">
        <x:f>IF(A41="","",E41+G41-H41)</x:f>
      </x:c>
      <x:c r="J41" t="str">
        <x:f>IF(A41="","",IF(I41&lt;0,"NEGATIVE STOCK",IF(I41&lt;=F41,"LOW STOCK","OK")))</x:f>
      </x:c>
    </x:row>
    <x:row r="42" ht="22" customHeight="1">
      <x:c r="A42" s="20"/>
      <x:c r="B42" s="20"/>
      <x:c r="C42" s="20"/>
      <x:c r="D42" s="25"/>
      <x:c r="E42" s="20"/>
      <x:c r="F42" s="20"/>
      <x:c r="G42" t="str">
        <x:f>IF(A42="","",SUMIF('Stock Movements'!$C$6:$C$305,A42,'Stock Movements'!$E$6:$E$305))</x:f>
      </x:c>
      <x:c r="H42" t="str">
        <x:f>IF(A42="","",SUMIFS(Sales!$G$6:$G$505,Sales!$E$6:$E$505,A42,Sales!$K$6:$K$505,"Completed"))</x:f>
      </x:c>
      <x:c r="I42" t="str">
        <x:f>IF(A42="","",E42+G42-H42)</x:f>
      </x:c>
      <x:c r="J42" t="str">
        <x:f>IF(A42="","",IF(I42&lt;0,"NEGATIVE STOCK",IF(I42&lt;=F42,"LOW STOCK","OK")))</x:f>
      </x:c>
    </x:row>
    <x:row r="43" ht="22" customHeight="1">
      <x:c r="A43" s="20"/>
      <x:c r="B43" s="20"/>
      <x:c r="C43" s="20"/>
      <x:c r="D43" s="25"/>
      <x:c r="E43" s="20"/>
      <x:c r="F43" s="20"/>
      <x:c r="G43" t="str">
        <x:f>IF(A43="","",SUMIF('Stock Movements'!$C$6:$C$305,A43,'Stock Movements'!$E$6:$E$305))</x:f>
      </x:c>
      <x:c r="H43" t="str">
        <x:f>IF(A43="","",SUMIFS(Sales!$G$6:$G$505,Sales!$E$6:$E$505,A43,Sales!$K$6:$K$505,"Completed"))</x:f>
      </x:c>
      <x:c r="I43" t="str">
        <x:f>IF(A43="","",E43+G43-H43)</x:f>
      </x:c>
      <x:c r="J43" t="str">
        <x:f>IF(A43="","",IF(I43&lt;0,"NEGATIVE STOCK",IF(I43&lt;=F43,"LOW STOCK","OK")))</x:f>
      </x:c>
    </x:row>
    <x:row r="44" ht="22" customHeight="1">
      <x:c r="A44" s="20"/>
      <x:c r="B44" s="20"/>
      <x:c r="C44" s="20"/>
      <x:c r="D44" s="25"/>
      <x:c r="E44" s="20"/>
      <x:c r="F44" s="20"/>
      <x:c r="G44" t="str">
        <x:f>IF(A44="","",SUMIF('Stock Movements'!$C$6:$C$305,A44,'Stock Movements'!$E$6:$E$305))</x:f>
      </x:c>
      <x:c r="H44" t="str">
        <x:f>IF(A44="","",SUMIFS(Sales!$G$6:$G$505,Sales!$E$6:$E$505,A44,Sales!$K$6:$K$505,"Completed"))</x:f>
      </x:c>
      <x:c r="I44" t="str">
        <x:f>IF(A44="","",E44+G44-H44)</x:f>
      </x:c>
      <x:c r="J44" t="str">
        <x:f>IF(A44="","",IF(I44&lt;0,"NEGATIVE STOCK",IF(I44&lt;=F44,"LOW STOCK","OK")))</x:f>
      </x:c>
    </x:row>
    <x:row r="45" ht="22" customHeight="1">
      <x:c r="A45" s="20"/>
      <x:c r="B45" s="20"/>
      <x:c r="C45" s="20"/>
      <x:c r="D45" s="25"/>
      <x:c r="E45" s="20"/>
      <x:c r="F45" s="20"/>
      <x:c r="G45" t="str">
        <x:f>IF(A45="","",SUMIF('Stock Movements'!$C$6:$C$305,A45,'Stock Movements'!$E$6:$E$305))</x:f>
      </x:c>
      <x:c r="H45" t="str">
        <x:f>IF(A45="","",SUMIFS(Sales!$G$6:$G$505,Sales!$E$6:$E$505,A45,Sales!$K$6:$K$505,"Completed"))</x:f>
      </x:c>
      <x:c r="I45" t="str">
        <x:f>IF(A45="","",E45+G45-H45)</x:f>
      </x:c>
      <x:c r="J45" t="str">
        <x:f>IF(A45="","",IF(I45&lt;0,"NEGATIVE STOCK",IF(I45&lt;=F45,"LOW STOCK","OK")))</x:f>
      </x:c>
    </x:row>
    <x:row r="46" ht="22" customHeight="1">
      <x:c r="A46" s="20"/>
      <x:c r="B46" s="20"/>
      <x:c r="C46" s="20"/>
      <x:c r="D46" s="25"/>
      <x:c r="E46" s="20"/>
      <x:c r="F46" s="20"/>
      <x:c r="G46" t="str">
        <x:f>IF(A46="","",SUMIF('Stock Movements'!$C$6:$C$305,A46,'Stock Movements'!$E$6:$E$305))</x:f>
      </x:c>
      <x:c r="H46" t="str">
        <x:f>IF(A46="","",SUMIFS(Sales!$G$6:$G$505,Sales!$E$6:$E$505,A46,Sales!$K$6:$K$505,"Completed"))</x:f>
      </x:c>
      <x:c r="I46" t="str">
        <x:f>IF(A46="","",E46+G46-H46)</x:f>
      </x:c>
      <x:c r="J46" t="str">
        <x:f>IF(A46="","",IF(I46&lt;0,"NEGATIVE STOCK",IF(I46&lt;=F46,"LOW STOCK","OK")))</x:f>
      </x:c>
    </x:row>
    <x:row r="47" ht="22" customHeight="1">
      <x:c r="A47" s="20"/>
      <x:c r="B47" s="20"/>
      <x:c r="C47" s="20"/>
      <x:c r="D47" s="25"/>
      <x:c r="E47" s="20"/>
      <x:c r="F47" s="20"/>
      <x:c r="G47" t="str">
        <x:f>IF(A47="","",SUMIF('Stock Movements'!$C$6:$C$305,A47,'Stock Movements'!$E$6:$E$305))</x:f>
      </x:c>
      <x:c r="H47" t="str">
        <x:f>IF(A47="","",SUMIFS(Sales!$G$6:$G$505,Sales!$E$6:$E$505,A47,Sales!$K$6:$K$505,"Completed"))</x:f>
      </x:c>
      <x:c r="I47" t="str">
        <x:f>IF(A47="","",E47+G47-H47)</x:f>
      </x:c>
      <x:c r="J47" t="str">
        <x:f>IF(A47="","",IF(I47&lt;0,"NEGATIVE STOCK",IF(I47&lt;=F47,"LOW STOCK","OK")))</x:f>
      </x:c>
    </x:row>
    <x:row r="48" ht="22" customHeight="1">
      <x:c r="A48" s="20"/>
      <x:c r="B48" s="20"/>
      <x:c r="C48" s="20"/>
      <x:c r="D48" s="25"/>
      <x:c r="E48" s="20"/>
      <x:c r="F48" s="20"/>
      <x:c r="G48" t="str">
        <x:f>IF(A48="","",SUMIF('Stock Movements'!$C$6:$C$305,A48,'Stock Movements'!$E$6:$E$305))</x:f>
      </x:c>
      <x:c r="H48" t="str">
        <x:f>IF(A48="","",SUMIFS(Sales!$G$6:$G$505,Sales!$E$6:$E$505,A48,Sales!$K$6:$K$505,"Completed"))</x:f>
      </x:c>
      <x:c r="I48" t="str">
        <x:f>IF(A48="","",E48+G48-H48)</x:f>
      </x:c>
      <x:c r="J48" t="str">
        <x:f>IF(A48="","",IF(I48&lt;0,"NEGATIVE STOCK",IF(I48&lt;=F48,"LOW STOCK","OK")))</x:f>
      </x:c>
    </x:row>
    <x:row r="49" ht="22" customHeight="1">
      <x:c r="A49" s="20"/>
      <x:c r="B49" s="20"/>
      <x:c r="C49" s="20"/>
      <x:c r="D49" s="25"/>
      <x:c r="E49" s="20"/>
      <x:c r="F49" s="20"/>
      <x:c r="G49" t="str">
        <x:f>IF(A49="","",SUMIF('Stock Movements'!$C$6:$C$305,A49,'Stock Movements'!$E$6:$E$305))</x:f>
      </x:c>
      <x:c r="H49" t="str">
        <x:f>IF(A49="","",SUMIFS(Sales!$G$6:$G$505,Sales!$E$6:$E$505,A49,Sales!$K$6:$K$505,"Completed"))</x:f>
      </x:c>
      <x:c r="I49" t="str">
        <x:f>IF(A49="","",E49+G49-H49)</x:f>
      </x:c>
      <x:c r="J49" t="str">
        <x:f>IF(A49="","",IF(I49&lt;0,"NEGATIVE STOCK",IF(I49&lt;=F49,"LOW STOCK","OK")))</x:f>
      </x:c>
    </x:row>
    <x:row r="50" ht="22" customHeight="1">
      <x:c r="A50" s="20"/>
      <x:c r="B50" s="20"/>
      <x:c r="C50" s="20"/>
      <x:c r="D50" s="25"/>
      <x:c r="E50" s="20"/>
      <x:c r="F50" s="20"/>
      <x:c r="G50" t="str">
        <x:f>IF(A50="","",SUMIF('Stock Movements'!$C$6:$C$305,A50,'Stock Movements'!$E$6:$E$305))</x:f>
      </x:c>
      <x:c r="H50" t="str">
        <x:f>IF(A50="","",SUMIFS(Sales!$G$6:$G$505,Sales!$E$6:$E$505,A50,Sales!$K$6:$K$505,"Completed"))</x:f>
      </x:c>
      <x:c r="I50" t="str">
        <x:f>IF(A50="","",E50+G50-H50)</x:f>
      </x:c>
      <x:c r="J50" t="str">
        <x:f>IF(A50="","",IF(I50&lt;0,"NEGATIVE STOCK",IF(I50&lt;=F50,"LOW STOCK","OK")))</x:f>
      </x:c>
    </x:row>
    <x:row r="51" ht="22" customHeight="1">
      <x:c r="A51" s="20"/>
      <x:c r="B51" s="20"/>
      <x:c r="C51" s="20"/>
      <x:c r="D51" s="25"/>
      <x:c r="E51" s="20"/>
      <x:c r="F51" s="20"/>
      <x:c r="G51" t="str">
        <x:f>IF(A51="","",SUMIF('Stock Movements'!$C$6:$C$305,A51,'Stock Movements'!$E$6:$E$305))</x:f>
      </x:c>
      <x:c r="H51" t="str">
        <x:f>IF(A51="","",SUMIFS(Sales!$G$6:$G$505,Sales!$E$6:$E$505,A51,Sales!$K$6:$K$505,"Completed"))</x:f>
      </x:c>
      <x:c r="I51" t="str">
        <x:f>IF(A51="","",E51+G51-H51)</x:f>
      </x:c>
      <x:c r="J51" t="str">
        <x:f>IF(A51="","",IF(I51&lt;0,"NEGATIVE STOCK",IF(I51&lt;=F51,"LOW STOCK","OK")))</x:f>
      </x:c>
    </x:row>
    <x:row r="52" ht="22" customHeight="1">
      <x:c r="A52" s="20"/>
      <x:c r="B52" s="20"/>
      <x:c r="C52" s="20"/>
      <x:c r="D52" s="25"/>
      <x:c r="E52" s="20"/>
      <x:c r="F52" s="20"/>
      <x:c r="G52" t="str">
        <x:f>IF(A52="","",SUMIF('Stock Movements'!$C$6:$C$305,A52,'Stock Movements'!$E$6:$E$305))</x:f>
      </x:c>
      <x:c r="H52" t="str">
        <x:f>IF(A52="","",SUMIFS(Sales!$G$6:$G$505,Sales!$E$6:$E$505,A52,Sales!$K$6:$K$505,"Completed"))</x:f>
      </x:c>
      <x:c r="I52" t="str">
        <x:f>IF(A52="","",E52+G52-H52)</x:f>
      </x:c>
      <x:c r="J52" t="str">
        <x:f>IF(A52="","",IF(I52&lt;0,"NEGATIVE STOCK",IF(I52&lt;=F52,"LOW STOCK","OK")))</x:f>
      </x:c>
    </x:row>
    <x:row r="53" ht="22" customHeight="1">
      <x:c r="A53" s="20"/>
      <x:c r="B53" s="20"/>
      <x:c r="C53" s="20"/>
      <x:c r="D53" s="25"/>
      <x:c r="E53" s="20"/>
      <x:c r="F53" s="20"/>
      <x:c r="G53" t="str">
        <x:f>IF(A53="","",SUMIF('Stock Movements'!$C$6:$C$305,A53,'Stock Movements'!$E$6:$E$305))</x:f>
      </x:c>
      <x:c r="H53" t="str">
        <x:f>IF(A53="","",SUMIFS(Sales!$G$6:$G$505,Sales!$E$6:$E$505,A53,Sales!$K$6:$K$505,"Completed"))</x:f>
      </x:c>
      <x:c r="I53" t="str">
        <x:f>IF(A53="","",E53+G53-H53)</x:f>
      </x:c>
      <x:c r="J53" t="str">
        <x:f>IF(A53="","",IF(I53&lt;0,"NEGATIVE STOCK",IF(I53&lt;=F53,"LOW STOCK","OK")))</x:f>
      </x:c>
    </x:row>
    <x:row r="54" ht="22" customHeight="1">
      <x:c r="A54" s="20"/>
      <x:c r="B54" s="20"/>
      <x:c r="C54" s="20"/>
      <x:c r="D54" s="25"/>
      <x:c r="E54" s="20"/>
      <x:c r="F54" s="20"/>
      <x:c r="G54" t="str">
        <x:f>IF(A54="","",SUMIF('Stock Movements'!$C$6:$C$305,A54,'Stock Movements'!$E$6:$E$305))</x:f>
      </x:c>
      <x:c r="H54" t="str">
        <x:f>IF(A54="","",SUMIFS(Sales!$G$6:$G$505,Sales!$E$6:$E$505,A54,Sales!$K$6:$K$505,"Completed"))</x:f>
      </x:c>
      <x:c r="I54" t="str">
        <x:f>IF(A54="","",E54+G54-H54)</x:f>
      </x:c>
      <x:c r="J54" t="str">
        <x:f>IF(A54="","",IF(I54&lt;0,"NEGATIVE STOCK",IF(I54&lt;=F54,"LOW STOCK","OK")))</x:f>
      </x:c>
    </x:row>
    <x:row r="55" ht="22" customHeight="1">
      <x:c r="A55" s="20"/>
      <x:c r="B55" s="20"/>
      <x:c r="C55" s="20"/>
      <x:c r="D55" s="25"/>
      <x:c r="E55" s="20"/>
      <x:c r="F55" s="20"/>
      <x:c r="G55" t="str">
        <x:f>IF(A55="","",SUMIF('Stock Movements'!$C$6:$C$305,A55,'Stock Movements'!$E$6:$E$305))</x:f>
      </x:c>
      <x:c r="H55" t="str">
        <x:f>IF(A55="","",SUMIFS(Sales!$G$6:$G$505,Sales!$E$6:$E$505,A55,Sales!$K$6:$K$505,"Completed"))</x:f>
      </x:c>
      <x:c r="I55" t="str">
        <x:f>IF(A55="","",E55+G55-H55)</x:f>
      </x:c>
      <x:c r="J55" t="str">
        <x:f>IF(A55="","",IF(I55&lt;0,"NEGATIVE STOCK",IF(I55&lt;=F55,"LOW STOCK","OK")))</x:f>
      </x:c>
    </x:row>
    <x:row r="56" ht="22" customHeight="1">
      <x:c r="A56" s="20"/>
      <x:c r="B56" s="20"/>
      <x:c r="C56" s="20"/>
      <x:c r="D56" s="25"/>
      <x:c r="E56" s="20"/>
      <x:c r="F56" s="20"/>
      <x:c r="G56" t="str">
        <x:f>IF(A56="","",SUMIF('Stock Movements'!$C$6:$C$305,A56,'Stock Movements'!$E$6:$E$305))</x:f>
      </x:c>
      <x:c r="H56" t="str">
        <x:f>IF(A56="","",SUMIFS(Sales!$G$6:$G$505,Sales!$E$6:$E$505,A56,Sales!$K$6:$K$505,"Completed"))</x:f>
      </x:c>
      <x:c r="I56" t="str">
        <x:f>IF(A56="","",E56+G56-H56)</x:f>
      </x:c>
      <x:c r="J56" t="str">
        <x:f>IF(A56="","",IF(I56&lt;0,"NEGATIVE STOCK",IF(I56&lt;=F56,"LOW STOCK","OK")))</x:f>
      </x:c>
    </x:row>
    <x:row r="57" ht="22" customHeight="1">
      <x:c r="A57" s="20"/>
      <x:c r="B57" s="20"/>
      <x:c r="C57" s="20"/>
      <x:c r="D57" s="25"/>
      <x:c r="E57" s="20"/>
      <x:c r="F57" s="20"/>
      <x:c r="G57" t="str">
        <x:f>IF(A57="","",SUMIF('Stock Movements'!$C$6:$C$305,A57,'Stock Movements'!$E$6:$E$305))</x:f>
      </x:c>
      <x:c r="H57" t="str">
        <x:f>IF(A57="","",SUMIFS(Sales!$G$6:$G$505,Sales!$E$6:$E$505,A57,Sales!$K$6:$K$505,"Completed"))</x:f>
      </x:c>
      <x:c r="I57" t="str">
        <x:f>IF(A57="","",E57+G57-H57)</x:f>
      </x:c>
      <x:c r="J57" t="str">
        <x:f>IF(A57="","",IF(I57&lt;0,"NEGATIVE STOCK",IF(I57&lt;=F57,"LOW STOCK","OK")))</x:f>
      </x:c>
    </x:row>
    <x:row r="58" ht="22" customHeight="1">
      <x:c r="A58" s="20"/>
      <x:c r="B58" s="20"/>
      <x:c r="C58" s="20"/>
      <x:c r="D58" s="25"/>
      <x:c r="E58" s="20"/>
      <x:c r="F58" s="20"/>
      <x:c r="G58" t="str">
        <x:f>IF(A58="","",SUMIF('Stock Movements'!$C$6:$C$305,A58,'Stock Movements'!$E$6:$E$305))</x:f>
      </x:c>
      <x:c r="H58" t="str">
        <x:f>IF(A58="","",SUMIFS(Sales!$G$6:$G$505,Sales!$E$6:$E$505,A58,Sales!$K$6:$K$505,"Completed"))</x:f>
      </x:c>
      <x:c r="I58" t="str">
        <x:f>IF(A58="","",E58+G58-H58)</x:f>
      </x:c>
      <x:c r="J58" t="str">
        <x:f>IF(A58="","",IF(I58&lt;0,"NEGATIVE STOCK",IF(I58&lt;=F58,"LOW STOCK","OK")))</x:f>
      </x:c>
    </x:row>
    <x:row r="59" ht="22" customHeight="1">
      <x:c r="A59" s="20"/>
      <x:c r="B59" s="20"/>
      <x:c r="C59" s="20"/>
      <x:c r="D59" s="25"/>
      <x:c r="E59" s="20"/>
      <x:c r="F59" s="20"/>
      <x:c r="G59" t="str">
        <x:f>IF(A59="","",SUMIF('Stock Movements'!$C$6:$C$305,A59,'Stock Movements'!$E$6:$E$305))</x:f>
      </x:c>
      <x:c r="H59" t="str">
        <x:f>IF(A59="","",SUMIFS(Sales!$G$6:$G$505,Sales!$E$6:$E$505,A59,Sales!$K$6:$K$505,"Completed"))</x:f>
      </x:c>
      <x:c r="I59" t="str">
        <x:f>IF(A59="","",E59+G59-H59)</x:f>
      </x:c>
      <x:c r="J59" t="str">
        <x:f>IF(A59="","",IF(I59&lt;0,"NEGATIVE STOCK",IF(I59&lt;=F59,"LOW STOCK","OK")))</x:f>
      </x:c>
    </x:row>
    <x:row r="60" ht="22" customHeight="1">
      <x:c r="A60" s="20"/>
      <x:c r="B60" s="20"/>
      <x:c r="C60" s="20"/>
      <x:c r="D60" s="25"/>
      <x:c r="E60" s="20"/>
      <x:c r="F60" s="20"/>
      <x:c r="G60" t="str">
        <x:f>IF(A60="","",SUMIF('Stock Movements'!$C$6:$C$305,A60,'Stock Movements'!$E$6:$E$305))</x:f>
      </x:c>
      <x:c r="H60" t="str">
        <x:f>IF(A60="","",SUMIFS(Sales!$G$6:$G$505,Sales!$E$6:$E$505,A60,Sales!$K$6:$K$505,"Completed"))</x:f>
      </x:c>
      <x:c r="I60" t="str">
        <x:f>IF(A60="","",E60+G60-H60)</x:f>
      </x:c>
      <x:c r="J60" t="str">
        <x:f>IF(A60="","",IF(I60&lt;0,"NEGATIVE STOCK",IF(I60&lt;=F60,"LOW STOCK","OK")))</x:f>
      </x:c>
    </x:row>
    <x:row r="61" ht="22" customHeight="1">
      <x:c r="A61" s="20"/>
      <x:c r="B61" s="20"/>
      <x:c r="C61" s="20"/>
      <x:c r="D61" s="25"/>
      <x:c r="E61" s="20"/>
      <x:c r="F61" s="20"/>
      <x:c r="G61" t="str">
        <x:f>IF(A61="","",SUMIF('Stock Movements'!$C$6:$C$305,A61,'Stock Movements'!$E$6:$E$305))</x:f>
      </x:c>
      <x:c r="H61" t="str">
        <x:f>IF(A61="","",SUMIFS(Sales!$G$6:$G$505,Sales!$E$6:$E$505,A61,Sales!$K$6:$K$505,"Completed"))</x:f>
      </x:c>
      <x:c r="I61" t="str">
        <x:f>IF(A61="","",E61+G61-H61)</x:f>
      </x:c>
      <x:c r="J61" t="str">
        <x:f>IF(A61="","",IF(I61&lt;0,"NEGATIVE STOCK",IF(I61&lt;=F61,"LOW STOCK","OK")))</x:f>
      </x:c>
    </x:row>
    <x:row r="62" ht="22" customHeight="1">
      <x:c r="A62" s="20"/>
      <x:c r="B62" s="20"/>
      <x:c r="C62" s="20"/>
      <x:c r="D62" s="25"/>
      <x:c r="E62" s="20"/>
      <x:c r="F62" s="20"/>
      <x:c r="G62" t="str">
        <x:f>IF(A62="","",SUMIF('Stock Movements'!$C$6:$C$305,A62,'Stock Movements'!$E$6:$E$305))</x:f>
      </x:c>
      <x:c r="H62" t="str">
        <x:f>IF(A62="","",SUMIFS(Sales!$G$6:$G$505,Sales!$E$6:$E$505,A62,Sales!$K$6:$K$505,"Completed"))</x:f>
      </x:c>
      <x:c r="I62" t="str">
        <x:f>IF(A62="","",E62+G62-H62)</x:f>
      </x:c>
      <x:c r="J62" t="str">
        <x:f>IF(A62="","",IF(I62&lt;0,"NEGATIVE STOCK",IF(I62&lt;=F62,"LOW STOCK","OK")))</x:f>
      </x:c>
    </x:row>
    <x:row r="63" ht="22" customHeight="1">
      <x:c r="A63" s="20"/>
      <x:c r="B63" s="20"/>
      <x:c r="C63" s="20"/>
      <x:c r="D63" s="25"/>
      <x:c r="E63" s="20"/>
      <x:c r="F63" s="20"/>
      <x:c r="G63" t="str">
        <x:f>IF(A63="","",SUMIF('Stock Movements'!$C$6:$C$305,A63,'Stock Movements'!$E$6:$E$305))</x:f>
      </x:c>
      <x:c r="H63" t="str">
        <x:f>IF(A63="","",SUMIFS(Sales!$G$6:$G$505,Sales!$E$6:$E$505,A63,Sales!$K$6:$K$505,"Completed"))</x:f>
      </x:c>
      <x:c r="I63" t="str">
        <x:f>IF(A63="","",E63+G63-H63)</x:f>
      </x:c>
      <x:c r="J63" t="str">
        <x:f>IF(A63="","",IF(I63&lt;0,"NEGATIVE STOCK",IF(I63&lt;=F63,"LOW STOCK","OK")))</x:f>
      </x:c>
    </x:row>
    <x:row r="64" ht="22" customHeight="1">
      <x:c r="A64" s="20"/>
      <x:c r="B64" s="20"/>
      <x:c r="C64" s="20"/>
      <x:c r="D64" s="25"/>
      <x:c r="E64" s="20"/>
      <x:c r="F64" s="20"/>
      <x:c r="G64" t="str">
        <x:f>IF(A64="","",SUMIF('Stock Movements'!$C$6:$C$305,A64,'Stock Movements'!$E$6:$E$305))</x:f>
      </x:c>
      <x:c r="H64" t="str">
        <x:f>IF(A64="","",SUMIFS(Sales!$G$6:$G$505,Sales!$E$6:$E$505,A64,Sales!$K$6:$K$505,"Completed"))</x:f>
      </x:c>
      <x:c r="I64" t="str">
        <x:f>IF(A64="","",E64+G64-H64)</x:f>
      </x:c>
      <x:c r="J64" t="str">
        <x:f>IF(A64="","",IF(I64&lt;0,"NEGATIVE STOCK",IF(I64&lt;=F64,"LOW STOCK","OK")))</x:f>
      </x:c>
    </x:row>
    <x:row r="65" ht="22" customHeight="1">
      <x:c r="A65" s="20"/>
      <x:c r="B65" s="20"/>
      <x:c r="C65" s="20"/>
      <x:c r="D65" s="25"/>
      <x:c r="E65" s="20"/>
      <x:c r="F65" s="20"/>
      <x:c r="G65" t="str">
        <x:f>IF(A65="","",SUMIF('Stock Movements'!$C$6:$C$305,A65,'Stock Movements'!$E$6:$E$305))</x:f>
      </x:c>
      <x:c r="H65" t="str">
        <x:f>IF(A65="","",SUMIFS(Sales!$G$6:$G$505,Sales!$E$6:$E$505,A65,Sales!$K$6:$K$505,"Completed"))</x:f>
      </x:c>
      <x:c r="I65" t="str">
        <x:f>IF(A65="","",E65+G65-H65)</x:f>
      </x:c>
      <x:c r="J65" t="str">
        <x:f>IF(A65="","",IF(I65&lt;0,"NEGATIVE STOCK",IF(I65&lt;=F65,"LOW STOCK","OK")))</x:f>
      </x:c>
    </x:row>
    <x:row r="66" ht="22" customHeight="1">
      <x:c r="A66" s="20"/>
      <x:c r="B66" s="20"/>
      <x:c r="C66" s="20"/>
      <x:c r="D66" s="25"/>
      <x:c r="E66" s="20"/>
      <x:c r="F66" s="20"/>
      <x:c r="G66" t="str">
        <x:f>IF(A66="","",SUMIF('Stock Movements'!$C$6:$C$305,A66,'Stock Movements'!$E$6:$E$305))</x:f>
      </x:c>
      <x:c r="H66" t="str">
        <x:f>IF(A66="","",SUMIFS(Sales!$G$6:$G$505,Sales!$E$6:$E$505,A66,Sales!$K$6:$K$505,"Completed"))</x:f>
      </x:c>
      <x:c r="I66" t="str">
        <x:f>IF(A66="","",E66+G66-H66)</x:f>
      </x:c>
      <x:c r="J66" t="str">
        <x:f>IF(A66="","",IF(I66&lt;0,"NEGATIVE STOCK",IF(I66&lt;=F66,"LOW STOCK","OK")))</x:f>
      </x:c>
    </x:row>
    <x:row r="67" ht="22" customHeight="1">
      <x:c r="A67" s="20"/>
      <x:c r="B67" s="20"/>
      <x:c r="C67" s="20"/>
      <x:c r="D67" s="25"/>
      <x:c r="E67" s="20"/>
      <x:c r="F67" s="20"/>
      <x:c r="G67" t="str">
        <x:f>IF(A67="","",SUMIF('Stock Movements'!$C$6:$C$305,A67,'Stock Movements'!$E$6:$E$305))</x:f>
      </x:c>
      <x:c r="H67" t="str">
        <x:f>IF(A67="","",SUMIFS(Sales!$G$6:$G$505,Sales!$E$6:$E$505,A67,Sales!$K$6:$K$505,"Completed"))</x:f>
      </x:c>
      <x:c r="I67" t="str">
        <x:f>IF(A67="","",E67+G67-H67)</x:f>
      </x:c>
      <x:c r="J67" t="str">
        <x:f>IF(A67="","",IF(I67&lt;0,"NEGATIVE STOCK",IF(I67&lt;=F67,"LOW STOCK","OK")))</x:f>
      </x:c>
    </x:row>
    <x:row r="68" ht="22" customHeight="1">
      <x:c r="A68" s="20"/>
      <x:c r="B68" s="20"/>
      <x:c r="C68" s="20"/>
      <x:c r="D68" s="25"/>
      <x:c r="E68" s="20"/>
      <x:c r="F68" s="20"/>
      <x:c r="G68" t="str">
        <x:f>IF(A68="","",SUMIF('Stock Movements'!$C$6:$C$305,A68,'Stock Movements'!$E$6:$E$305))</x:f>
      </x:c>
      <x:c r="H68" t="str">
        <x:f>IF(A68="","",SUMIFS(Sales!$G$6:$G$505,Sales!$E$6:$E$505,A68,Sales!$K$6:$K$505,"Completed"))</x:f>
      </x:c>
      <x:c r="I68" t="str">
        <x:f>IF(A68="","",E68+G68-H68)</x:f>
      </x:c>
      <x:c r="J68" t="str">
        <x:f>IF(A68="","",IF(I68&lt;0,"NEGATIVE STOCK",IF(I68&lt;=F68,"LOW STOCK","OK")))</x:f>
      </x:c>
    </x:row>
    <x:row r="69" ht="22" customHeight="1">
      <x:c r="A69" s="20"/>
      <x:c r="B69" s="20"/>
      <x:c r="C69" s="20"/>
      <x:c r="D69" s="25"/>
      <x:c r="E69" s="20"/>
      <x:c r="F69" s="20"/>
      <x:c r="G69" t="str">
        <x:f>IF(A69="","",SUMIF('Stock Movements'!$C$6:$C$305,A69,'Stock Movements'!$E$6:$E$305))</x:f>
      </x:c>
      <x:c r="H69" t="str">
        <x:f>IF(A69="","",SUMIFS(Sales!$G$6:$G$505,Sales!$E$6:$E$505,A69,Sales!$K$6:$K$505,"Completed"))</x:f>
      </x:c>
      <x:c r="I69" t="str">
        <x:f>IF(A69="","",E69+G69-H69)</x:f>
      </x:c>
      <x:c r="J69" t="str">
        <x:f>IF(A69="","",IF(I69&lt;0,"NEGATIVE STOCK",IF(I69&lt;=F69,"LOW STOCK","OK")))</x:f>
      </x:c>
    </x:row>
    <x:row r="70" ht="22" customHeight="1">
      <x:c r="A70" s="20"/>
      <x:c r="B70" s="20"/>
      <x:c r="C70" s="20"/>
      <x:c r="D70" s="25"/>
      <x:c r="E70" s="20"/>
      <x:c r="F70" s="20"/>
      <x:c r="G70" t="str">
        <x:f>IF(A70="","",SUMIF('Stock Movements'!$C$6:$C$305,A70,'Stock Movements'!$E$6:$E$305))</x:f>
      </x:c>
      <x:c r="H70" t="str">
        <x:f>IF(A70="","",SUMIFS(Sales!$G$6:$G$505,Sales!$E$6:$E$505,A70,Sales!$K$6:$K$505,"Completed"))</x:f>
      </x:c>
      <x:c r="I70" t="str">
        <x:f>IF(A70="","",E70+G70-H70)</x:f>
      </x:c>
      <x:c r="J70" t="str">
        <x:f>IF(A70="","",IF(I70&lt;0,"NEGATIVE STOCK",IF(I70&lt;=F70,"LOW STOCK","OK")))</x:f>
      </x:c>
    </x:row>
    <x:row r="71" ht="22" customHeight="1">
      <x:c r="A71" s="20"/>
      <x:c r="B71" s="20"/>
      <x:c r="C71" s="20"/>
      <x:c r="D71" s="25"/>
      <x:c r="E71" s="20"/>
      <x:c r="F71" s="20"/>
      <x:c r="G71" t="str">
        <x:f>IF(A71="","",SUMIF('Stock Movements'!$C$6:$C$305,A71,'Stock Movements'!$E$6:$E$305))</x:f>
      </x:c>
      <x:c r="H71" t="str">
        <x:f>IF(A71="","",SUMIFS(Sales!$G$6:$G$505,Sales!$E$6:$E$505,A71,Sales!$K$6:$K$505,"Completed"))</x:f>
      </x:c>
      <x:c r="I71" t="str">
        <x:f>IF(A71="","",E71+G71-H71)</x:f>
      </x:c>
      <x:c r="J71" t="str">
        <x:f>IF(A71="","",IF(I71&lt;0,"NEGATIVE STOCK",IF(I71&lt;=F71,"LOW STOCK","OK")))</x:f>
      </x:c>
    </x:row>
    <x:row r="72" ht="22" customHeight="1">
      <x:c r="A72" s="20"/>
      <x:c r="B72" s="20"/>
      <x:c r="C72" s="20"/>
      <x:c r="D72" s="25"/>
      <x:c r="E72" s="20"/>
      <x:c r="F72" s="20"/>
      <x:c r="G72" t="str">
        <x:f>IF(A72="","",SUMIF('Stock Movements'!$C$6:$C$305,A72,'Stock Movements'!$E$6:$E$305))</x:f>
      </x:c>
      <x:c r="H72" t="str">
        <x:f>IF(A72="","",SUMIFS(Sales!$G$6:$G$505,Sales!$E$6:$E$505,A72,Sales!$K$6:$K$505,"Completed"))</x:f>
      </x:c>
      <x:c r="I72" t="str">
        <x:f>IF(A72="","",E72+G72-H72)</x:f>
      </x:c>
      <x:c r="J72" t="str">
        <x:f>IF(A72="","",IF(I72&lt;0,"NEGATIVE STOCK",IF(I72&lt;=F72,"LOW STOCK","OK")))</x:f>
      </x:c>
    </x:row>
    <x:row r="73" ht="22" customHeight="1">
      <x:c r="A73" s="20"/>
      <x:c r="B73" s="20"/>
      <x:c r="C73" s="20"/>
      <x:c r="D73" s="25"/>
      <x:c r="E73" s="20"/>
      <x:c r="F73" s="20"/>
      <x:c r="G73" t="str">
        <x:f>IF(A73="","",SUMIF('Stock Movements'!$C$6:$C$305,A73,'Stock Movements'!$E$6:$E$305))</x:f>
      </x:c>
      <x:c r="H73" t="str">
        <x:f>IF(A73="","",SUMIFS(Sales!$G$6:$G$505,Sales!$E$6:$E$505,A73,Sales!$K$6:$K$505,"Completed"))</x:f>
      </x:c>
      <x:c r="I73" t="str">
        <x:f>IF(A73="","",E73+G73-H73)</x:f>
      </x:c>
      <x:c r="J73" t="str">
        <x:f>IF(A73="","",IF(I73&lt;0,"NEGATIVE STOCK",IF(I73&lt;=F73,"LOW STOCK","OK")))</x:f>
      </x:c>
    </x:row>
    <x:row r="74" ht="22" customHeight="1">
      <x:c r="A74" s="20"/>
      <x:c r="B74" s="20"/>
      <x:c r="C74" s="20"/>
      <x:c r="D74" s="25"/>
      <x:c r="E74" s="20"/>
      <x:c r="F74" s="20"/>
      <x:c r="G74" t="str">
        <x:f>IF(A74="","",SUMIF('Stock Movements'!$C$6:$C$305,A74,'Stock Movements'!$E$6:$E$305))</x:f>
      </x:c>
      <x:c r="H74" t="str">
        <x:f>IF(A74="","",SUMIFS(Sales!$G$6:$G$505,Sales!$E$6:$E$505,A74,Sales!$K$6:$K$505,"Completed"))</x:f>
      </x:c>
      <x:c r="I74" t="str">
        <x:f>IF(A74="","",E74+G74-H74)</x:f>
      </x:c>
      <x:c r="J74" t="str">
        <x:f>IF(A74="","",IF(I74&lt;0,"NEGATIVE STOCK",IF(I74&lt;=F74,"LOW STOCK","OK")))</x:f>
      </x:c>
    </x:row>
    <x:row r="75" ht="22" customHeight="1">
      <x:c r="A75" s="20"/>
      <x:c r="B75" s="20"/>
      <x:c r="C75" s="20"/>
      <x:c r="D75" s="25"/>
      <x:c r="E75" s="20"/>
      <x:c r="F75" s="20"/>
      <x:c r="G75" t="str">
        <x:f>IF(A75="","",SUMIF('Stock Movements'!$C$6:$C$305,A75,'Stock Movements'!$E$6:$E$305))</x:f>
      </x:c>
      <x:c r="H75" t="str">
        <x:f>IF(A75="","",SUMIFS(Sales!$G$6:$G$505,Sales!$E$6:$E$505,A75,Sales!$K$6:$K$505,"Completed"))</x:f>
      </x:c>
      <x:c r="I75" t="str">
        <x:f>IF(A75="","",E75+G75-H75)</x:f>
      </x:c>
      <x:c r="J75" t="str">
        <x:f>IF(A75="","",IF(I75&lt;0,"NEGATIVE STOCK",IF(I75&lt;=F75,"LOW STOCK","OK")))</x:f>
      </x:c>
    </x:row>
    <x:row r="76" ht="22" customHeight="1">
      <x:c r="A76" s="20"/>
      <x:c r="B76" s="20"/>
      <x:c r="C76" s="20"/>
      <x:c r="D76" s="25"/>
      <x:c r="E76" s="20"/>
      <x:c r="F76" s="20"/>
      <x:c r="G76" t="str">
        <x:f>IF(A76="","",SUMIF('Stock Movements'!$C$6:$C$305,A76,'Stock Movements'!$E$6:$E$305))</x:f>
      </x:c>
      <x:c r="H76" t="str">
        <x:f>IF(A76="","",SUMIFS(Sales!$G$6:$G$505,Sales!$E$6:$E$505,A76,Sales!$K$6:$K$505,"Completed"))</x:f>
      </x:c>
      <x:c r="I76" t="str">
        <x:f>IF(A76="","",E76+G76-H76)</x:f>
      </x:c>
      <x:c r="J76" t="str">
        <x:f>IF(A76="","",IF(I76&lt;0,"NEGATIVE STOCK",IF(I76&lt;=F76,"LOW STOCK","OK")))</x:f>
      </x:c>
    </x:row>
    <x:row r="77" ht="22" customHeight="1">
      <x:c r="A77" s="20"/>
      <x:c r="B77" s="20"/>
      <x:c r="C77" s="20"/>
      <x:c r="D77" s="25"/>
      <x:c r="E77" s="20"/>
      <x:c r="F77" s="20"/>
      <x:c r="G77" t="str">
        <x:f>IF(A77="","",SUMIF('Stock Movements'!$C$6:$C$305,A77,'Stock Movements'!$E$6:$E$305))</x:f>
      </x:c>
      <x:c r="H77" t="str">
        <x:f>IF(A77="","",SUMIFS(Sales!$G$6:$G$505,Sales!$E$6:$E$505,A77,Sales!$K$6:$K$505,"Completed"))</x:f>
      </x:c>
      <x:c r="I77" t="str">
        <x:f>IF(A77="","",E77+G77-H77)</x:f>
      </x:c>
      <x:c r="J77" t="str">
        <x:f>IF(A77="","",IF(I77&lt;0,"NEGATIVE STOCK",IF(I77&lt;=F77,"LOW STOCK","OK")))</x:f>
      </x:c>
    </x:row>
    <x:row r="78" ht="22" customHeight="1">
      <x:c r="A78" s="20"/>
      <x:c r="B78" s="20"/>
      <x:c r="C78" s="20"/>
      <x:c r="D78" s="25"/>
      <x:c r="E78" s="20"/>
      <x:c r="F78" s="20"/>
      <x:c r="G78" t="str">
        <x:f>IF(A78="","",SUMIF('Stock Movements'!$C$6:$C$305,A78,'Stock Movements'!$E$6:$E$305))</x:f>
      </x:c>
      <x:c r="H78" t="str">
        <x:f>IF(A78="","",SUMIFS(Sales!$G$6:$G$505,Sales!$E$6:$E$505,A78,Sales!$K$6:$K$505,"Completed"))</x:f>
      </x:c>
      <x:c r="I78" t="str">
        <x:f>IF(A78="","",E78+G78-H78)</x:f>
      </x:c>
      <x:c r="J78" t="str">
        <x:f>IF(A78="","",IF(I78&lt;0,"NEGATIVE STOCK",IF(I78&lt;=F78,"LOW STOCK","OK")))</x:f>
      </x:c>
    </x:row>
    <x:row r="79" ht="22" customHeight="1">
      <x:c r="A79" s="20"/>
      <x:c r="B79" s="20"/>
      <x:c r="C79" s="20"/>
      <x:c r="D79" s="25"/>
      <x:c r="E79" s="20"/>
      <x:c r="F79" s="20"/>
      <x:c r="G79" t="str">
        <x:f>IF(A79="","",SUMIF('Stock Movements'!$C$6:$C$305,A79,'Stock Movements'!$E$6:$E$305))</x:f>
      </x:c>
      <x:c r="H79" t="str">
        <x:f>IF(A79="","",SUMIFS(Sales!$G$6:$G$505,Sales!$E$6:$E$505,A79,Sales!$K$6:$K$505,"Completed"))</x:f>
      </x:c>
      <x:c r="I79" t="str">
        <x:f>IF(A79="","",E79+G79-H79)</x:f>
      </x:c>
      <x:c r="J79" t="str">
        <x:f>IF(A79="","",IF(I79&lt;0,"NEGATIVE STOCK",IF(I79&lt;=F79,"LOW STOCK","OK")))</x:f>
      </x:c>
    </x:row>
    <x:row r="80" ht="22" customHeight="1">
      <x:c r="A80" s="20"/>
      <x:c r="B80" s="20"/>
      <x:c r="C80" s="20"/>
      <x:c r="D80" s="25"/>
      <x:c r="E80" s="20"/>
      <x:c r="F80" s="20"/>
      <x:c r="G80" t="str">
        <x:f>IF(A80="","",SUMIF('Stock Movements'!$C$6:$C$305,A80,'Stock Movements'!$E$6:$E$305))</x:f>
      </x:c>
      <x:c r="H80" t="str">
        <x:f>IF(A80="","",SUMIFS(Sales!$G$6:$G$505,Sales!$E$6:$E$505,A80,Sales!$K$6:$K$505,"Completed"))</x:f>
      </x:c>
      <x:c r="I80" t="str">
        <x:f>IF(A80="","",E80+G80-H80)</x:f>
      </x:c>
      <x:c r="J80" t="str">
        <x:f>IF(A80="","",IF(I80&lt;0,"NEGATIVE STOCK",IF(I80&lt;=F80,"LOW STOCK","OK")))</x:f>
      </x:c>
    </x:row>
    <x:row r="81" ht="22" customHeight="1">
      <x:c r="A81" s="20"/>
      <x:c r="B81" s="20"/>
      <x:c r="C81" s="20"/>
      <x:c r="D81" s="25"/>
      <x:c r="E81" s="20"/>
      <x:c r="F81" s="20"/>
      <x:c r="G81" t="str">
        <x:f>IF(A81="","",SUMIF('Stock Movements'!$C$6:$C$305,A81,'Stock Movements'!$E$6:$E$305))</x:f>
      </x:c>
      <x:c r="H81" t="str">
        <x:f>IF(A81="","",SUMIFS(Sales!$G$6:$G$505,Sales!$E$6:$E$505,A81,Sales!$K$6:$K$505,"Completed"))</x:f>
      </x:c>
      <x:c r="I81" t="str">
        <x:f>IF(A81="","",E81+G81-H81)</x:f>
      </x:c>
      <x:c r="J81" t="str">
        <x:f>IF(A81="","",IF(I81&lt;0,"NEGATIVE STOCK",IF(I81&lt;=F81,"LOW STOCK","OK")))</x:f>
      </x:c>
    </x:row>
    <x:row r="82" ht="22" customHeight="1">
      <x:c r="A82" s="20"/>
      <x:c r="B82" s="20"/>
      <x:c r="C82" s="20"/>
      <x:c r="D82" s="25"/>
      <x:c r="E82" s="20"/>
      <x:c r="F82" s="20"/>
      <x:c r="G82" t="str">
        <x:f>IF(A82="","",SUMIF('Stock Movements'!$C$6:$C$305,A82,'Stock Movements'!$E$6:$E$305))</x:f>
      </x:c>
      <x:c r="H82" t="str">
        <x:f>IF(A82="","",SUMIFS(Sales!$G$6:$G$505,Sales!$E$6:$E$505,A82,Sales!$K$6:$K$505,"Completed"))</x:f>
      </x:c>
      <x:c r="I82" t="str">
        <x:f>IF(A82="","",E82+G82-H82)</x:f>
      </x:c>
      <x:c r="J82" t="str">
        <x:f>IF(A82="","",IF(I82&lt;0,"NEGATIVE STOCK",IF(I82&lt;=F82,"LOW STOCK","OK")))</x:f>
      </x:c>
    </x:row>
    <x:row r="83" ht="22" customHeight="1">
      <x:c r="A83" s="20"/>
      <x:c r="B83" s="20"/>
      <x:c r="C83" s="20"/>
      <x:c r="D83" s="25"/>
      <x:c r="E83" s="20"/>
      <x:c r="F83" s="20"/>
      <x:c r="G83" t="str">
        <x:f>IF(A83="","",SUMIF('Stock Movements'!$C$6:$C$305,A83,'Stock Movements'!$E$6:$E$305))</x:f>
      </x:c>
      <x:c r="H83" t="str">
        <x:f>IF(A83="","",SUMIFS(Sales!$G$6:$G$505,Sales!$E$6:$E$505,A83,Sales!$K$6:$K$505,"Completed"))</x:f>
      </x:c>
      <x:c r="I83" t="str">
        <x:f>IF(A83="","",E83+G83-H83)</x:f>
      </x:c>
      <x:c r="J83" t="str">
        <x:f>IF(A83="","",IF(I83&lt;0,"NEGATIVE STOCK",IF(I83&lt;=F83,"LOW STOCK","OK")))</x:f>
      </x:c>
    </x:row>
    <x:row r="84" ht="22" customHeight="1">
      <x:c r="A84" s="20"/>
      <x:c r="B84" s="20"/>
      <x:c r="C84" s="20"/>
      <x:c r="D84" s="25"/>
      <x:c r="E84" s="20"/>
      <x:c r="F84" s="20"/>
      <x:c r="G84" t="str">
        <x:f>IF(A84="","",SUMIF('Stock Movements'!$C$6:$C$305,A84,'Stock Movements'!$E$6:$E$305))</x:f>
      </x:c>
      <x:c r="H84" t="str">
        <x:f>IF(A84="","",SUMIFS(Sales!$G$6:$G$505,Sales!$E$6:$E$505,A84,Sales!$K$6:$K$505,"Completed"))</x:f>
      </x:c>
      <x:c r="I84" t="str">
        <x:f>IF(A84="","",E84+G84-H84)</x:f>
      </x:c>
      <x:c r="J84" t="str">
        <x:f>IF(A84="","",IF(I84&lt;0,"NEGATIVE STOCK",IF(I84&lt;=F84,"LOW STOCK","OK")))</x:f>
      </x:c>
    </x:row>
    <x:row r="85" ht="22" customHeight="1">
      <x:c r="A85" s="20"/>
      <x:c r="B85" s="20"/>
      <x:c r="C85" s="20"/>
      <x:c r="D85" s="25"/>
      <x:c r="E85" s="20"/>
      <x:c r="F85" s="20"/>
      <x:c r="G85" t="str">
        <x:f>IF(A85="","",SUMIF('Stock Movements'!$C$6:$C$305,A85,'Stock Movements'!$E$6:$E$305))</x:f>
      </x:c>
      <x:c r="H85" t="str">
        <x:f>IF(A85="","",SUMIFS(Sales!$G$6:$G$505,Sales!$E$6:$E$505,A85,Sales!$K$6:$K$505,"Completed"))</x:f>
      </x:c>
      <x:c r="I85" t="str">
        <x:f>IF(A85="","",E85+G85-H85)</x:f>
      </x:c>
      <x:c r="J85" t="str">
        <x:f>IF(A85="","",IF(I85&lt;0,"NEGATIVE STOCK",IF(I85&lt;=F85,"LOW STOCK","OK")))</x:f>
      </x:c>
    </x:row>
    <x:row r="86" ht="22" customHeight="1">
      <x:c r="A86" s="20"/>
      <x:c r="B86" s="20"/>
      <x:c r="C86" s="20"/>
      <x:c r="D86" s="25"/>
      <x:c r="E86" s="20"/>
      <x:c r="F86" s="20"/>
      <x:c r="G86" t="str">
        <x:f>IF(A86="","",SUMIF('Stock Movements'!$C$6:$C$305,A86,'Stock Movements'!$E$6:$E$305))</x:f>
      </x:c>
      <x:c r="H86" t="str">
        <x:f>IF(A86="","",SUMIFS(Sales!$G$6:$G$505,Sales!$E$6:$E$505,A86,Sales!$K$6:$K$505,"Completed"))</x:f>
      </x:c>
      <x:c r="I86" t="str">
        <x:f>IF(A86="","",E86+G86-H86)</x:f>
      </x:c>
      <x:c r="J86" t="str">
        <x:f>IF(A86="","",IF(I86&lt;0,"NEGATIVE STOCK",IF(I86&lt;=F86,"LOW STOCK","OK")))</x:f>
      </x:c>
    </x:row>
    <x:row r="87" ht="22" customHeight="1">
      <x:c r="A87" s="20"/>
      <x:c r="B87" s="20"/>
      <x:c r="C87" s="20"/>
      <x:c r="D87" s="25"/>
      <x:c r="E87" s="20"/>
      <x:c r="F87" s="20"/>
      <x:c r="G87" t="str">
        <x:f>IF(A87="","",SUMIF('Stock Movements'!$C$6:$C$305,A87,'Stock Movements'!$E$6:$E$305))</x:f>
      </x:c>
      <x:c r="H87" t="str">
        <x:f>IF(A87="","",SUMIFS(Sales!$G$6:$G$505,Sales!$E$6:$E$505,A87,Sales!$K$6:$K$505,"Completed"))</x:f>
      </x:c>
      <x:c r="I87" t="str">
        <x:f>IF(A87="","",E87+G87-H87)</x:f>
      </x:c>
      <x:c r="J87" t="str">
        <x:f>IF(A87="","",IF(I87&lt;0,"NEGATIVE STOCK",IF(I87&lt;=F87,"LOW STOCK","OK")))</x:f>
      </x:c>
    </x:row>
    <x:row r="88" ht="22" customHeight="1">
      <x:c r="A88" s="20"/>
      <x:c r="B88" s="20"/>
      <x:c r="C88" s="20"/>
      <x:c r="D88" s="25"/>
      <x:c r="E88" s="20"/>
      <x:c r="F88" s="20"/>
      <x:c r="G88" t="str">
        <x:f>IF(A88="","",SUMIF('Stock Movements'!$C$6:$C$305,A88,'Stock Movements'!$E$6:$E$305))</x:f>
      </x:c>
      <x:c r="H88" t="str">
        <x:f>IF(A88="","",SUMIFS(Sales!$G$6:$G$505,Sales!$E$6:$E$505,A88,Sales!$K$6:$K$505,"Completed"))</x:f>
      </x:c>
      <x:c r="I88" t="str">
        <x:f>IF(A88="","",E88+G88-H88)</x:f>
      </x:c>
      <x:c r="J88" t="str">
        <x:f>IF(A88="","",IF(I88&lt;0,"NEGATIVE STOCK",IF(I88&lt;=F88,"LOW STOCK","OK")))</x:f>
      </x:c>
    </x:row>
    <x:row r="89" ht="22" customHeight="1">
      <x:c r="A89" s="20"/>
      <x:c r="B89" s="20"/>
      <x:c r="C89" s="20"/>
      <x:c r="D89" s="25"/>
      <x:c r="E89" s="20"/>
      <x:c r="F89" s="20"/>
      <x:c r="G89" t="str">
        <x:f>IF(A89="","",SUMIF('Stock Movements'!$C$6:$C$305,A89,'Stock Movements'!$E$6:$E$305))</x:f>
      </x:c>
      <x:c r="H89" t="str">
        <x:f>IF(A89="","",SUMIFS(Sales!$G$6:$G$505,Sales!$E$6:$E$505,A89,Sales!$K$6:$K$505,"Completed"))</x:f>
      </x:c>
      <x:c r="I89" t="str">
        <x:f>IF(A89="","",E89+G89-H89)</x:f>
      </x:c>
      <x:c r="J89" t="str">
        <x:f>IF(A89="","",IF(I89&lt;0,"NEGATIVE STOCK",IF(I89&lt;=F89,"LOW STOCK","OK")))</x:f>
      </x:c>
    </x:row>
    <x:row r="90" ht="22" customHeight="1">
      <x:c r="A90" s="20"/>
      <x:c r="B90" s="20"/>
      <x:c r="C90" s="20"/>
      <x:c r="D90" s="25"/>
      <x:c r="E90" s="20"/>
      <x:c r="F90" s="20"/>
      <x:c r="G90" t="str">
        <x:f>IF(A90="","",SUMIF('Stock Movements'!$C$6:$C$305,A90,'Stock Movements'!$E$6:$E$305))</x:f>
      </x:c>
      <x:c r="H90" t="str">
        <x:f>IF(A90="","",SUMIFS(Sales!$G$6:$G$505,Sales!$E$6:$E$505,A90,Sales!$K$6:$K$505,"Completed"))</x:f>
      </x:c>
      <x:c r="I90" t="str">
        <x:f>IF(A90="","",E90+G90-H90)</x:f>
      </x:c>
      <x:c r="J90" t="str">
        <x:f>IF(A90="","",IF(I90&lt;0,"NEGATIVE STOCK",IF(I90&lt;=F90,"LOW STOCK","OK")))</x:f>
      </x:c>
    </x:row>
    <x:row r="91" ht="22" customHeight="1">
      <x:c r="A91" s="20"/>
      <x:c r="B91" s="20"/>
      <x:c r="C91" s="20"/>
      <x:c r="D91" s="25"/>
      <x:c r="E91" s="20"/>
      <x:c r="F91" s="20"/>
      <x:c r="G91" t="str">
        <x:f>IF(A91="","",SUMIF('Stock Movements'!$C$6:$C$305,A91,'Stock Movements'!$E$6:$E$305))</x:f>
      </x:c>
      <x:c r="H91" t="str">
        <x:f>IF(A91="","",SUMIFS(Sales!$G$6:$G$505,Sales!$E$6:$E$505,A91,Sales!$K$6:$K$505,"Completed"))</x:f>
      </x:c>
      <x:c r="I91" t="str">
        <x:f>IF(A91="","",E91+G91-H91)</x:f>
      </x:c>
      <x:c r="J91" t="str">
        <x:f>IF(A91="","",IF(I91&lt;0,"NEGATIVE STOCK",IF(I91&lt;=F91,"LOW STOCK","OK")))</x:f>
      </x:c>
    </x:row>
    <x:row r="92" ht="22" customHeight="1">
      <x:c r="A92" s="20"/>
      <x:c r="B92" s="20"/>
      <x:c r="C92" s="20"/>
      <x:c r="D92" s="25"/>
      <x:c r="E92" s="20"/>
      <x:c r="F92" s="20"/>
      <x:c r="G92" t="str">
        <x:f>IF(A92="","",SUMIF('Stock Movements'!$C$6:$C$305,A92,'Stock Movements'!$E$6:$E$305))</x:f>
      </x:c>
      <x:c r="H92" t="str">
        <x:f>IF(A92="","",SUMIFS(Sales!$G$6:$G$505,Sales!$E$6:$E$505,A92,Sales!$K$6:$K$505,"Completed"))</x:f>
      </x:c>
      <x:c r="I92" t="str">
        <x:f>IF(A92="","",E92+G92-H92)</x:f>
      </x:c>
      <x:c r="J92" t="str">
        <x:f>IF(A92="","",IF(I92&lt;0,"NEGATIVE STOCK",IF(I92&lt;=F92,"LOW STOCK","OK")))</x:f>
      </x:c>
    </x:row>
    <x:row r="93" ht="22" customHeight="1">
      <x:c r="A93" s="20"/>
      <x:c r="B93" s="20"/>
      <x:c r="C93" s="20"/>
      <x:c r="D93" s="25"/>
      <x:c r="E93" s="20"/>
      <x:c r="F93" s="20"/>
      <x:c r="G93" t="str">
        <x:f>IF(A93="","",SUMIF('Stock Movements'!$C$6:$C$305,A93,'Stock Movements'!$E$6:$E$305))</x:f>
      </x:c>
      <x:c r="H93" t="str">
        <x:f>IF(A93="","",SUMIFS(Sales!$G$6:$G$505,Sales!$E$6:$E$505,A93,Sales!$K$6:$K$505,"Completed"))</x:f>
      </x:c>
      <x:c r="I93" t="str">
        <x:f>IF(A93="","",E93+G93-H93)</x:f>
      </x:c>
      <x:c r="J93" t="str">
        <x:f>IF(A93="","",IF(I93&lt;0,"NEGATIVE STOCK",IF(I93&lt;=F93,"LOW STOCK","OK")))</x:f>
      </x:c>
    </x:row>
    <x:row r="94" ht="22" customHeight="1">
      <x:c r="A94" s="20"/>
      <x:c r="B94" s="20"/>
      <x:c r="C94" s="20"/>
      <x:c r="D94" s="25"/>
      <x:c r="E94" s="20"/>
      <x:c r="F94" s="20"/>
      <x:c r="G94" t="str">
        <x:f>IF(A94="","",SUMIF('Stock Movements'!$C$6:$C$305,A94,'Stock Movements'!$E$6:$E$305))</x:f>
      </x:c>
      <x:c r="H94" t="str">
        <x:f>IF(A94="","",SUMIFS(Sales!$G$6:$G$505,Sales!$E$6:$E$505,A94,Sales!$K$6:$K$505,"Completed"))</x:f>
      </x:c>
      <x:c r="I94" t="str">
        <x:f>IF(A94="","",E94+G94-H94)</x:f>
      </x:c>
      <x:c r="J94" t="str">
        <x:f>IF(A94="","",IF(I94&lt;0,"NEGATIVE STOCK",IF(I94&lt;=F94,"LOW STOCK","OK")))</x:f>
      </x:c>
    </x:row>
    <x:row r="95" ht="22" customHeight="1">
      <x:c r="A95" s="20"/>
      <x:c r="B95" s="20"/>
      <x:c r="C95" s="20"/>
      <x:c r="D95" s="25"/>
      <x:c r="E95" s="20"/>
      <x:c r="F95" s="20"/>
      <x:c r="G95" t="str">
        <x:f>IF(A95="","",SUMIF('Stock Movements'!$C$6:$C$305,A95,'Stock Movements'!$E$6:$E$305))</x:f>
      </x:c>
      <x:c r="H95" t="str">
        <x:f>IF(A95="","",SUMIFS(Sales!$G$6:$G$505,Sales!$E$6:$E$505,A95,Sales!$K$6:$K$505,"Completed"))</x:f>
      </x:c>
      <x:c r="I95" t="str">
        <x:f>IF(A95="","",E95+G95-H95)</x:f>
      </x:c>
      <x:c r="J95" t="str">
        <x:f>IF(A95="","",IF(I95&lt;0,"NEGATIVE STOCK",IF(I95&lt;=F95,"LOW STOCK","OK")))</x:f>
      </x:c>
    </x:row>
    <x:row r="96" ht="22" customHeight="1">
      <x:c r="A96" s="20"/>
      <x:c r="B96" s="20"/>
      <x:c r="C96" s="20"/>
      <x:c r="D96" s="25"/>
      <x:c r="E96" s="20"/>
      <x:c r="F96" s="20"/>
      <x:c r="G96" t="str">
        <x:f>IF(A96="","",SUMIF('Stock Movements'!$C$6:$C$305,A96,'Stock Movements'!$E$6:$E$305))</x:f>
      </x:c>
      <x:c r="H96" t="str">
        <x:f>IF(A96="","",SUMIFS(Sales!$G$6:$G$505,Sales!$E$6:$E$505,A96,Sales!$K$6:$K$505,"Completed"))</x:f>
      </x:c>
      <x:c r="I96" t="str">
        <x:f>IF(A96="","",E96+G96-H96)</x:f>
      </x:c>
      <x:c r="J96" t="str">
        <x:f>IF(A96="","",IF(I96&lt;0,"NEGATIVE STOCK",IF(I96&lt;=F96,"LOW STOCK","OK")))</x:f>
      </x:c>
    </x:row>
    <x:row r="97" ht="22" customHeight="1">
      <x:c r="A97" s="20"/>
      <x:c r="B97" s="20"/>
      <x:c r="C97" s="20"/>
      <x:c r="D97" s="25"/>
      <x:c r="E97" s="20"/>
      <x:c r="F97" s="20"/>
      <x:c r="G97" t="str">
        <x:f>IF(A97="","",SUMIF('Stock Movements'!$C$6:$C$305,A97,'Stock Movements'!$E$6:$E$305))</x:f>
      </x:c>
      <x:c r="H97" t="str">
        <x:f>IF(A97="","",SUMIFS(Sales!$G$6:$G$505,Sales!$E$6:$E$505,A97,Sales!$K$6:$K$505,"Completed"))</x:f>
      </x:c>
      <x:c r="I97" t="str">
        <x:f>IF(A97="","",E97+G97-H97)</x:f>
      </x:c>
      <x:c r="J97" t="str">
        <x:f>IF(A97="","",IF(I97&lt;0,"NEGATIVE STOCK",IF(I97&lt;=F97,"LOW STOCK","OK")))</x:f>
      </x:c>
    </x:row>
    <x:row r="98" ht="22" customHeight="1">
      <x:c r="A98" s="20"/>
      <x:c r="B98" s="20"/>
      <x:c r="C98" s="20"/>
      <x:c r="D98" s="25"/>
      <x:c r="E98" s="20"/>
      <x:c r="F98" s="20"/>
      <x:c r="G98" t="str">
        <x:f>IF(A98="","",SUMIF('Stock Movements'!$C$6:$C$305,A98,'Stock Movements'!$E$6:$E$305))</x:f>
      </x:c>
      <x:c r="H98" t="str">
        <x:f>IF(A98="","",SUMIFS(Sales!$G$6:$G$505,Sales!$E$6:$E$505,A98,Sales!$K$6:$K$505,"Completed"))</x:f>
      </x:c>
      <x:c r="I98" t="str">
        <x:f>IF(A98="","",E98+G98-H98)</x:f>
      </x:c>
      <x:c r="J98" t="str">
        <x:f>IF(A98="","",IF(I98&lt;0,"NEGATIVE STOCK",IF(I98&lt;=F98,"LOW STOCK","OK")))</x:f>
      </x:c>
    </x:row>
    <x:row r="99" ht="22" customHeight="1">
      <x:c r="A99" s="20"/>
      <x:c r="B99" s="20"/>
      <x:c r="C99" s="20"/>
      <x:c r="D99" s="25"/>
      <x:c r="E99" s="20"/>
      <x:c r="F99" s="20"/>
      <x:c r="G99" t="str">
        <x:f>IF(A99="","",SUMIF('Stock Movements'!$C$6:$C$305,A99,'Stock Movements'!$E$6:$E$305))</x:f>
      </x:c>
      <x:c r="H99" t="str">
        <x:f>IF(A99="","",SUMIFS(Sales!$G$6:$G$505,Sales!$E$6:$E$505,A99,Sales!$K$6:$K$505,"Completed"))</x:f>
      </x:c>
      <x:c r="I99" t="str">
        <x:f>IF(A99="","",E99+G99-H99)</x:f>
      </x:c>
      <x:c r="J99" t="str">
        <x:f>IF(A99="","",IF(I99&lt;0,"NEGATIVE STOCK",IF(I99&lt;=F99,"LOW STOCK","OK")))</x:f>
      </x:c>
    </x:row>
    <x:row r="100" ht="22" customHeight="1">
      <x:c r="A100" s="20"/>
      <x:c r="B100" s="20"/>
      <x:c r="C100" s="20"/>
      <x:c r="D100" s="25"/>
      <x:c r="E100" s="20"/>
      <x:c r="F100" s="20"/>
      <x:c r="G100" t="str">
        <x:f>IF(A100="","",SUMIF('Stock Movements'!$C$6:$C$305,A100,'Stock Movements'!$E$6:$E$305))</x:f>
      </x:c>
      <x:c r="H100" t="str">
        <x:f>IF(A100="","",SUMIFS(Sales!$G$6:$G$505,Sales!$E$6:$E$505,A100,Sales!$K$6:$K$505,"Completed"))</x:f>
      </x:c>
      <x:c r="I100" t="str">
        <x:f>IF(A100="","",E100+G100-H100)</x:f>
      </x:c>
      <x:c r="J100" t="str">
        <x:f>IF(A100="","",IF(I100&lt;0,"NEGATIVE STOCK",IF(I100&lt;=F100,"LOW STOCK","OK")))</x:f>
      </x:c>
    </x:row>
    <x:row r="101" ht="22" customHeight="1">
      <x:c r="A101" s="20"/>
      <x:c r="B101" s="20"/>
      <x:c r="C101" s="20"/>
      <x:c r="D101" s="25"/>
      <x:c r="E101" s="20"/>
      <x:c r="F101" s="20"/>
      <x:c r="G101" t="str">
        <x:f>IF(A101="","",SUMIF('Stock Movements'!$C$6:$C$305,A101,'Stock Movements'!$E$6:$E$305))</x:f>
      </x:c>
      <x:c r="H101" t="str">
        <x:f>IF(A101="","",SUMIFS(Sales!$G$6:$G$505,Sales!$E$6:$E$505,A101,Sales!$K$6:$K$505,"Completed"))</x:f>
      </x:c>
      <x:c r="I101" t="str">
        <x:f>IF(A101="","",E101+G101-H101)</x:f>
      </x:c>
      <x:c r="J101" t="str">
        <x:f>IF(A101="","",IF(I101&lt;0,"NEGATIVE STOCK",IF(I101&lt;=F101,"LOW STOCK","OK")))</x:f>
      </x:c>
    </x:row>
    <x:row r="102" ht="22" customHeight="1">
      <x:c r="A102" s="20"/>
      <x:c r="B102" s="20"/>
      <x:c r="C102" s="20"/>
      <x:c r="D102" s="25"/>
      <x:c r="E102" s="20"/>
      <x:c r="F102" s="20"/>
      <x:c r="G102" t="str">
        <x:f>IF(A102="","",SUMIF('Stock Movements'!$C$6:$C$305,A102,'Stock Movements'!$E$6:$E$305))</x:f>
      </x:c>
      <x:c r="H102" t="str">
        <x:f>IF(A102="","",SUMIFS(Sales!$G$6:$G$505,Sales!$E$6:$E$505,A102,Sales!$K$6:$K$505,"Completed"))</x:f>
      </x:c>
      <x:c r="I102" t="str">
        <x:f>IF(A102="","",E102+G102-H102)</x:f>
      </x:c>
      <x:c r="J102" t="str">
        <x:f>IF(A102="","",IF(I102&lt;0,"NEGATIVE STOCK",IF(I102&lt;=F102,"LOW STOCK","OK")))</x:f>
      </x:c>
    </x:row>
    <x:row r="103" ht="22" customHeight="1">
      <x:c r="A103" s="20"/>
      <x:c r="B103" s="20"/>
      <x:c r="C103" s="20"/>
      <x:c r="D103" s="25"/>
      <x:c r="E103" s="20"/>
      <x:c r="F103" s="20"/>
      <x:c r="G103" t="str">
        <x:f>IF(A103="","",SUMIF('Stock Movements'!$C$6:$C$305,A103,'Stock Movements'!$E$6:$E$305))</x:f>
      </x:c>
      <x:c r="H103" t="str">
        <x:f>IF(A103="","",SUMIFS(Sales!$G$6:$G$505,Sales!$E$6:$E$505,A103,Sales!$K$6:$K$505,"Completed"))</x:f>
      </x:c>
      <x:c r="I103" t="str">
        <x:f>IF(A103="","",E103+G103-H103)</x:f>
      </x:c>
      <x:c r="J103" t="str">
        <x:f>IF(A103="","",IF(I103&lt;0,"NEGATIVE STOCK",IF(I103&lt;=F103,"LOW STOCK","OK")))</x:f>
      </x:c>
    </x:row>
    <x:row r="104" ht="22" customHeight="1">
      <x:c r="A104" s="20"/>
      <x:c r="B104" s="20"/>
      <x:c r="C104" s="20"/>
      <x:c r="D104" s="25"/>
      <x:c r="E104" s="20"/>
      <x:c r="F104" s="20"/>
      <x:c r="G104" t="str">
        <x:f>IF(A104="","",SUMIF('Stock Movements'!$C$6:$C$305,A104,'Stock Movements'!$E$6:$E$305))</x:f>
      </x:c>
      <x:c r="H104" t="str">
        <x:f>IF(A104="","",SUMIFS(Sales!$G$6:$G$505,Sales!$E$6:$E$505,A104,Sales!$K$6:$K$505,"Completed"))</x:f>
      </x:c>
      <x:c r="I104" t="str">
        <x:f>IF(A104="","",E104+G104-H104)</x:f>
      </x:c>
      <x:c r="J104" t="str">
        <x:f>IF(A104="","",IF(I104&lt;0,"NEGATIVE STOCK",IF(I104&lt;=F104,"LOW STOCK","OK")))</x:f>
      </x:c>
    </x:row>
    <x:row r="105" ht="22" customHeight="1">
      <x:c r="A105" s="20"/>
      <x:c r="B105" s="20"/>
      <x:c r="C105" s="20"/>
      <x:c r="D105" s="25"/>
      <x:c r="E105" s="20"/>
      <x:c r="F105" s="20"/>
      <x:c r="G105" t="str">
        <x:f>IF(A105="","",SUMIF('Stock Movements'!$C$6:$C$305,A105,'Stock Movements'!$E$6:$E$305))</x:f>
      </x:c>
      <x:c r="H105" t="str">
        <x:f>IF(A105="","",SUMIFS(Sales!$G$6:$G$505,Sales!$E$6:$E$505,A105,Sales!$K$6:$K$505,"Completed"))</x:f>
      </x:c>
      <x:c r="I105" t="str">
        <x:f>IF(A105="","",E105+G105-H105)</x:f>
      </x:c>
      <x:c r="J105" t="str">
        <x:f>IF(A105="","",IF(I105&lt;0,"NEGATIVE STOCK",IF(I105&lt;=F105,"LOW STOCK","OK")))</x:f>
      </x:c>
    </x:row>
    <x:row r="106" ht="22" customHeight="1">
      <x:c r="A106" s="20"/>
      <x:c r="B106" s="20"/>
      <x:c r="C106" s="20"/>
      <x:c r="D106" s="25"/>
      <x:c r="E106" s="20"/>
      <x:c r="F106" s="20"/>
      <x:c r="G106" t="str">
        <x:f>IF(A106="","",SUMIF('Stock Movements'!$C$6:$C$305,A106,'Stock Movements'!$E$6:$E$305))</x:f>
      </x:c>
      <x:c r="H106" t="str">
        <x:f>IF(A106="","",SUMIFS(Sales!$G$6:$G$505,Sales!$E$6:$E$505,A106,Sales!$K$6:$K$505,"Completed"))</x:f>
      </x:c>
      <x:c r="I106" t="str">
        <x:f>IF(A106="","",E106+G106-H106)</x:f>
      </x:c>
      <x:c r="J106" t="str">
        <x:f>IF(A106="","",IF(I106&lt;0,"NEGATIVE STOCK",IF(I106&lt;=F106,"LOW STOCK","OK")))</x:f>
      </x:c>
    </x:row>
    <x:row r="107" ht="22" customHeight="1">
      <x:c r="A107" s="20"/>
      <x:c r="B107" s="20"/>
      <x:c r="C107" s="20"/>
      <x:c r="D107" s="25"/>
      <x:c r="E107" s="20"/>
      <x:c r="F107" s="20"/>
      <x:c r="G107" t="str">
        <x:f>IF(A107="","",SUMIF('Stock Movements'!$C$6:$C$305,A107,'Stock Movements'!$E$6:$E$305))</x:f>
      </x:c>
      <x:c r="H107" t="str">
        <x:f>IF(A107="","",SUMIFS(Sales!$G$6:$G$505,Sales!$E$6:$E$505,A107,Sales!$K$6:$K$505,"Completed"))</x:f>
      </x:c>
      <x:c r="I107" t="str">
        <x:f>IF(A107="","",E107+G107-H107)</x:f>
      </x:c>
      <x:c r="J107" t="str">
        <x:f>IF(A107="","",IF(I107&lt;0,"NEGATIVE STOCK",IF(I107&lt;=F107,"LOW STOCK","OK")))</x:f>
      </x:c>
    </x:row>
    <x:row r="108" ht="22" customHeight="1">
      <x:c r="A108" s="20"/>
      <x:c r="B108" s="20"/>
      <x:c r="C108" s="20"/>
      <x:c r="D108" s="25"/>
      <x:c r="E108" s="20"/>
      <x:c r="F108" s="20"/>
      <x:c r="G108" t="str">
        <x:f>IF(A108="","",SUMIF('Stock Movements'!$C$6:$C$305,A108,'Stock Movements'!$E$6:$E$305))</x:f>
      </x:c>
      <x:c r="H108" t="str">
        <x:f>IF(A108="","",SUMIFS(Sales!$G$6:$G$505,Sales!$E$6:$E$505,A108,Sales!$K$6:$K$505,"Completed"))</x:f>
      </x:c>
      <x:c r="I108" t="str">
        <x:f>IF(A108="","",E108+G108-H108)</x:f>
      </x:c>
      <x:c r="J108" t="str">
        <x:f>IF(A108="","",IF(I108&lt;0,"NEGATIVE STOCK",IF(I108&lt;=F108,"LOW STOCK","OK")))</x:f>
      </x:c>
    </x:row>
    <x:row r="109" ht="22" customHeight="1">
      <x:c r="A109" s="20"/>
      <x:c r="B109" s="20"/>
      <x:c r="C109" s="20"/>
      <x:c r="D109" s="25"/>
      <x:c r="E109" s="20"/>
      <x:c r="F109" s="20"/>
      <x:c r="G109" t="str">
        <x:f>IF(A109="","",SUMIF('Stock Movements'!$C$6:$C$305,A109,'Stock Movements'!$E$6:$E$305))</x:f>
      </x:c>
      <x:c r="H109" t="str">
        <x:f>IF(A109="","",SUMIFS(Sales!$G$6:$G$505,Sales!$E$6:$E$505,A109,Sales!$K$6:$K$505,"Completed"))</x:f>
      </x:c>
      <x:c r="I109" t="str">
        <x:f>IF(A109="","",E109+G109-H109)</x:f>
      </x:c>
      <x:c r="J109" t="str">
        <x:f>IF(A109="","",IF(I109&lt;0,"NEGATIVE STOCK",IF(I109&lt;=F109,"LOW STOCK","OK")))</x:f>
      </x:c>
    </x:row>
    <x:row r="110" ht="22" customHeight="1">
      <x:c r="A110" s="20"/>
      <x:c r="B110" s="20"/>
      <x:c r="C110" s="20"/>
      <x:c r="D110" s="25"/>
      <x:c r="E110" s="20"/>
      <x:c r="F110" s="20"/>
      <x:c r="G110" t="str">
        <x:f>IF(A110="","",SUMIF('Stock Movements'!$C$6:$C$305,A110,'Stock Movements'!$E$6:$E$305))</x:f>
      </x:c>
      <x:c r="H110" t="str">
        <x:f>IF(A110="","",SUMIFS(Sales!$G$6:$G$505,Sales!$E$6:$E$505,A110,Sales!$K$6:$K$505,"Completed"))</x:f>
      </x:c>
      <x:c r="I110" t="str">
        <x:f>IF(A110="","",E110+G110-H110)</x:f>
      </x:c>
      <x:c r="J110" t="str">
        <x:f>IF(A110="","",IF(I110&lt;0,"NEGATIVE STOCK",IF(I110&lt;=F110,"LOW STOCK","OK")))</x:f>
      </x:c>
    </x:row>
  </x:sheetData>
  <x:mergeCells>
    <x:mergeCell ref="A1:J2"/>
    <x:mergeCell ref="A3:J3"/>
  </x:mergeCells>
  <x:conditionalFormatting sqref="J6:J110">
    <x:cfRule type="expression" dxfId="0" priority="1">
      <x:formula>J6="LOW STOCK"</x:formula>
    </x:cfRule>
  </x:conditionalFormatting>
  <x:conditionalFormatting sqref="I6:I110">
    <x:cfRule type="expression" dxfId="1" priority="2">
      <x:formula>AND(A6&lt;&gt;"",I6&lt;0)</x:formula>
    </x:cfRule>
  </x:conditionalFormatting>
  <x:conditionalFormatting sqref="A6:A110">
    <x:cfRule type="expression" dxfId="5" priority="3">
      <x:formula>AND(A6&lt;&gt;"",COUNTIF($A$6:$A$110,A6)&gt;1)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32" hidden="0" customWidth="1"/>
    <x:col min="5" max="5" width="20" hidden="0" customWidth="1"/>
    <x:col min="6" max="6" width="23" hidden="0" customWidth="1"/>
    <x:col min="7" max="7" width="38" hidden="0" customWidth="1"/>
  </x:cols>
  <x:sheetData>
    <x:row r="1" ht="25" customHeight="1">
      <x:c r="A1" s="4" t="str">
        <x:v>STOCK RECEIPTS &amp; CORRECTIONS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5" customHeight="1">
      <x:c r="A3" s="9" t="str">
        <x:v>Use positive quantity for stock received; negative for loss, damage, or manual correction.</x:v>
      </x:c>
      <x:c r="B3" s="9"/>
      <x:c r="C3" s="9"/>
      <x:c r="D3" s="9"/>
      <x:c r="E3" s="9"/>
      <x:c r="F3" s="9"/>
      <x:c r="G3" s="9"/>
    </x:row>
    <x:row r="5" ht="30" customHeight="1">
      <x:c r="A5" s="15" t="str">
        <x:v>Movement ID</x:v>
      </x:c>
      <x:c r="B5" s="15" t="str">
        <x:v>Date</x:v>
      </x:c>
      <x:c r="C5" s="15" t="str">
        <x:v>SKU / Model ID</x:v>
      </x:c>
      <x:c r="D5" s="15" t="str">
        <x:v>Product Name ↻</x:v>
      </x:c>
      <x:c r="E5" s="15" t="str">
        <x:v>Qty Change (+/-)</x:v>
      </x:c>
      <x:c r="F5" s="15" t="str">
        <x:v>Movement Type</x:v>
      </x:c>
      <x:c r="G5" s="15" t="str">
        <x:v>Reference / Reason</x:v>
      </x:c>
    </x:row>
    <x:row r="6" ht="22" customHeight="1">
      <x:c r="A6" s="20"/>
      <x:c r="B6" s="22"/>
      <x:c r="C6" s="20"/>
      <x:c r="D6" t="str">
        <x:f>IF(C6="","",IFERROR(VLOOKUP(C6,Products!$A$6:$B$110,2,FALSE),"INVALID SKU"))</x:f>
      </x:c>
      <x:c r="E6" s="20"/>
      <x:c r="F6" s="20"/>
      <x:c r="G6" s="20"/>
    </x:row>
    <x:row r="7" ht="22" customHeight="1">
      <x:c r="A7" s="20"/>
      <x:c r="B7" s="22"/>
      <x:c r="C7" s="20"/>
      <x:c r="D7" t="str">
        <x:f>IF(C7="","",IFERROR(VLOOKUP(C7,Products!$A$6:$B$110,2,FALSE),"INVALID SKU"))</x:f>
      </x:c>
      <x:c r="E7" s="20"/>
      <x:c r="F7" s="20"/>
      <x:c r="G7" s="20"/>
    </x:row>
    <x:row r="8" ht="22" customHeight="1">
      <x:c r="A8" s="20"/>
      <x:c r="B8" s="22"/>
      <x:c r="C8" s="20"/>
      <x:c r="D8" t="str">
        <x:f>IF(C8="","",IFERROR(VLOOKUP(C8,Products!$A$6:$B$110,2,FALSE),"INVALID SKU"))</x:f>
      </x:c>
      <x:c r="E8" s="20"/>
      <x:c r="F8" s="20"/>
      <x:c r="G8" s="20"/>
    </x:row>
    <x:row r="9" ht="22" customHeight="1">
      <x:c r="A9" s="20"/>
      <x:c r="B9" s="22"/>
      <x:c r="C9" s="20"/>
      <x:c r="D9" t="str">
        <x:f>IF(C9="","",IFERROR(VLOOKUP(C9,Products!$A$6:$B$110,2,FALSE),"INVALID SKU"))</x:f>
      </x:c>
      <x:c r="E9" s="20"/>
      <x:c r="F9" s="20"/>
      <x:c r="G9" s="20"/>
    </x:row>
    <x:row r="10" ht="22" customHeight="1">
      <x:c r="A10" s="20"/>
      <x:c r="B10" s="22"/>
      <x:c r="C10" s="20"/>
      <x:c r="D10" t="str">
        <x:f>IF(C10="","",IFERROR(VLOOKUP(C10,Products!$A$6:$B$110,2,FALSE),"INVALID SKU"))</x:f>
      </x:c>
      <x:c r="E10" s="20"/>
      <x:c r="F10" s="20"/>
      <x:c r="G10" s="20"/>
    </x:row>
    <x:row r="11" ht="22" customHeight="1">
      <x:c r="A11" s="20"/>
      <x:c r="B11" s="22"/>
      <x:c r="C11" s="20"/>
      <x:c r="D11" t="str">
        <x:f>IF(C11="","",IFERROR(VLOOKUP(C11,Products!$A$6:$B$110,2,FALSE),"INVALID SKU"))</x:f>
      </x:c>
      <x:c r="E11" s="20"/>
      <x:c r="F11" s="20"/>
      <x:c r="G11" s="20"/>
    </x:row>
    <x:row r="12" ht="22" customHeight="1">
      <x:c r="A12" s="20"/>
      <x:c r="B12" s="22"/>
      <x:c r="C12" s="20"/>
      <x:c r="D12" t="str">
        <x:f>IF(C12="","",IFERROR(VLOOKUP(C12,Products!$A$6:$B$110,2,FALSE),"INVALID SKU"))</x:f>
      </x:c>
      <x:c r="E12" s="20"/>
      <x:c r="F12" s="20"/>
      <x:c r="G12" s="20"/>
    </x:row>
    <x:row r="13" ht="22" customHeight="1">
      <x:c r="A13" s="20"/>
      <x:c r="B13" s="22"/>
      <x:c r="C13" s="20"/>
      <x:c r="D13" t="str">
        <x:f>IF(C13="","",IFERROR(VLOOKUP(C13,Products!$A$6:$B$110,2,FALSE),"INVALID SKU"))</x:f>
      </x:c>
      <x:c r="E13" s="20"/>
      <x:c r="F13" s="20"/>
      <x:c r="G13" s="20"/>
    </x:row>
    <x:row r="14" ht="22" customHeight="1">
      <x:c r="A14" s="20"/>
      <x:c r="B14" s="22"/>
      <x:c r="C14" s="20"/>
      <x:c r="D14" t="str">
        <x:f>IF(C14="","",IFERROR(VLOOKUP(C14,Products!$A$6:$B$110,2,FALSE),"INVALID SKU"))</x:f>
      </x:c>
      <x:c r="E14" s="20"/>
      <x:c r="F14" s="20"/>
      <x:c r="G14" s="20"/>
    </x:row>
    <x:row r="15" ht="22" customHeight="1">
      <x:c r="A15" s="20"/>
      <x:c r="B15" s="22"/>
      <x:c r="C15" s="20"/>
      <x:c r="D15" t="str">
        <x:f>IF(C15="","",IFERROR(VLOOKUP(C15,Products!$A$6:$B$110,2,FALSE),"INVALID SKU"))</x:f>
      </x:c>
      <x:c r="E15" s="20"/>
      <x:c r="F15" s="20"/>
      <x:c r="G15" s="20"/>
    </x:row>
    <x:row r="16" ht="22" customHeight="1">
      <x:c r="A16" s="20"/>
      <x:c r="B16" s="22"/>
      <x:c r="C16" s="20"/>
      <x:c r="D16" t="str">
        <x:f>IF(C16="","",IFERROR(VLOOKUP(C16,Products!$A$6:$B$110,2,FALSE),"INVALID SKU"))</x:f>
      </x:c>
      <x:c r="E16" s="20"/>
      <x:c r="F16" s="20"/>
      <x:c r="G16" s="20"/>
    </x:row>
    <x:row r="17" ht="22" customHeight="1">
      <x:c r="A17" s="20"/>
      <x:c r="B17" s="22"/>
      <x:c r="C17" s="20"/>
      <x:c r="D17" t="str">
        <x:f>IF(C17="","",IFERROR(VLOOKUP(C17,Products!$A$6:$B$110,2,FALSE),"INVALID SKU"))</x:f>
      </x:c>
      <x:c r="E17" s="20"/>
      <x:c r="F17" s="20"/>
      <x:c r="G17" s="20"/>
    </x:row>
    <x:row r="18" ht="22" customHeight="1">
      <x:c r="A18" s="20"/>
      <x:c r="B18" s="22"/>
      <x:c r="C18" s="20"/>
      <x:c r="D18" t="str">
        <x:f>IF(C18="","",IFERROR(VLOOKUP(C18,Products!$A$6:$B$110,2,FALSE),"INVALID SKU"))</x:f>
      </x:c>
      <x:c r="E18" s="20"/>
      <x:c r="F18" s="20"/>
      <x:c r="G18" s="20"/>
    </x:row>
    <x:row r="19" ht="22" customHeight="1">
      <x:c r="A19" s="20"/>
      <x:c r="B19" s="22"/>
      <x:c r="C19" s="20"/>
      <x:c r="D19" t="str">
        <x:f>IF(C19="","",IFERROR(VLOOKUP(C19,Products!$A$6:$B$110,2,FALSE),"INVALID SKU"))</x:f>
      </x:c>
      <x:c r="E19" s="20"/>
      <x:c r="F19" s="20"/>
      <x:c r="G19" s="20"/>
    </x:row>
    <x:row r="20" ht="22" customHeight="1">
      <x:c r="A20" s="20"/>
      <x:c r="B20" s="22"/>
      <x:c r="C20" s="20"/>
      <x:c r="D20" t="str">
        <x:f>IF(C20="","",IFERROR(VLOOKUP(C20,Products!$A$6:$B$110,2,FALSE),"INVALID SKU"))</x:f>
      </x:c>
      <x:c r="E20" s="20"/>
      <x:c r="F20" s="20"/>
      <x:c r="G20" s="20"/>
    </x:row>
    <x:row r="21" ht="22" customHeight="1">
      <x:c r="A21" s="20"/>
      <x:c r="B21" s="22"/>
      <x:c r="C21" s="20"/>
      <x:c r="D21" t="str">
        <x:f>IF(C21="","",IFERROR(VLOOKUP(C21,Products!$A$6:$B$110,2,FALSE),"INVALID SKU"))</x:f>
      </x:c>
      <x:c r="E21" s="20"/>
      <x:c r="F21" s="20"/>
      <x:c r="G21" s="20"/>
    </x:row>
    <x:row r="22" ht="22" customHeight="1">
      <x:c r="A22" s="20"/>
      <x:c r="B22" s="22"/>
      <x:c r="C22" s="20"/>
      <x:c r="D22" t="str">
        <x:f>IF(C22="","",IFERROR(VLOOKUP(C22,Products!$A$6:$B$110,2,FALSE),"INVALID SKU"))</x:f>
      </x:c>
      <x:c r="E22" s="20"/>
      <x:c r="F22" s="20"/>
      <x:c r="G22" s="20"/>
    </x:row>
    <x:row r="23" ht="22" customHeight="1">
      <x:c r="A23" s="20"/>
      <x:c r="B23" s="22"/>
      <x:c r="C23" s="20"/>
      <x:c r="D23" t="str">
        <x:f>IF(C23="","",IFERROR(VLOOKUP(C23,Products!$A$6:$B$110,2,FALSE),"INVALID SKU"))</x:f>
      </x:c>
      <x:c r="E23" s="20"/>
      <x:c r="F23" s="20"/>
      <x:c r="G23" s="20"/>
    </x:row>
    <x:row r="24" ht="22" customHeight="1">
      <x:c r="A24" s="20"/>
      <x:c r="B24" s="22"/>
      <x:c r="C24" s="20"/>
      <x:c r="D24" t="str">
        <x:f>IF(C24="","",IFERROR(VLOOKUP(C24,Products!$A$6:$B$110,2,FALSE),"INVALID SKU"))</x:f>
      </x:c>
      <x:c r="E24" s="20"/>
      <x:c r="F24" s="20"/>
      <x:c r="G24" s="20"/>
    </x:row>
    <x:row r="25" ht="22" customHeight="1">
      <x:c r="A25" s="20"/>
      <x:c r="B25" s="22"/>
      <x:c r="C25" s="20"/>
      <x:c r="D25" t="str">
        <x:f>IF(C25="","",IFERROR(VLOOKUP(C25,Products!$A$6:$B$110,2,FALSE),"INVALID SKU"))</x:f>
      </x:c>
      <x:c r="E25" s="20"/>
      <x:c r="F25" s="20"/>
      <x:c r="G25" s="20"/>
    </x:row>
    <x:row r="26" ht="22" customHeight="1">
      <x:c r="A26" s="20"/>
      <x:c r="B26" s="22"/>
      <x:c r="C26" s="20"/>
      <x:c r="D26" t="str">
        <x:f>IF(C26="","",IFERROR(VLOOKUP(C26,Products!$A$6:$B$110,2,FALSE),"INVALID SKU"))</x:f>
      </x:c>
      <x:c r="E26" s="20"/>
      <x:c r="F26" s="20"/>
      <x:c r="G26" s="20"/>
    </x:row>
    <x:row r="27" ht="22" customHeight="1">
      <x:c r="A27" s="20"/>
      <x:c r="B27" s="22"/>
      <x:c r="C27" s="20"/>
      <x:c r="D27" t="str">
        <x:f>IF(C27="","",IFERROR(VLOOKUP(C27,Products!$A$6:$B$110,2,FALSE),"INVALID SKU"))</x:f>
      </x:c>
      <x:c r="E27" s="20"/>
      <x:c r="F27" s="20"/>
      <x:c r="G27" s="20"/>
    </x:row>
    <x:row r="28" ht="22" customHeight="1">
      <x:c r="A28" s="20"/>
      <x:c r="B28" s="22"/>
      <x:c r="C28" s="20"/>
      <x:c r="D28" t="str">
        <x:f>IF(C28="","",IFERROR(VLOOKUP(C28,Products!$A$6:$B$110,2,FALSE),"INVALID SKU"))</x:f>
      </x:c>
      <x:c r="E28" s="20"/>
      <x:c r="F28" s="20"/>
      <x:c r="G28" s="20"/>
    </x:row>
    <x:row r="29" ht="22" customHeight="1">
      <x:c r="A29" s="20"/>
      <x:c r="B29" s="22"/>
      <x:c r="C29" s="20"/>
      <x:c r="D29" t="str">
        <x:f>IF(C29="","",IFERROR(VLOOKUP(C29,Products!$A$6:$B$110,2,FALSE),"INVALID SKU"))</x:f>
      </x:c>
      <x:c r="E29" s="20"/>
      <x:c r="F29" s="20"/>
      <x:c r="G29" s="20"/>
    </x:row>
    <x:row r="30" ht="22" customHeight="1">
      <x:c r="A30" s="20"/>
      <x:c r="B30" s="22"/>
      <x:c r="C30" s="20"/>
      <x:c r="D30" t="str">
        <x:f>IF(C30="","",IFERROR(VLOOKUP(C30,Products!$A$6:$B$110,2,FALSE),"INVALID SKU"))</x:f>
      </x:c>
      <x:c r="E30" s="20"/>
      <x:c r="F30" s="20"/>
      <x:c r="G30" s="20"/>
    </x:row>
    <x:row r="31" ht="22" customHeight="1">
      <x:c r="A31" s="20"/>
      <x:c r="B31" s="22"/>
      <x:c r="C31" s="20"/>
      <x:c r="D31" t="str">
        <x:f>IF(C31="","",IFERROR(VLOOKUP(C31,Products!$A$6:$B$110,2,FALSE),"INVALID SKU"))</x:f>
      </x:c>
      <x:c r="E31" s="20"/>
      <x:c r="F31" s="20"/>
      <x:c r="G31" s="20"/>
    </x:row>
    <x:row r="32" ht="22" customHeight="1">
      <x:c r="A32" s="20"/>
      <x:c r="B32" s="22"/>
      <x:c r="C32" s="20"/>
      <x:c r="D32" t="str">
        <x:f>IF(C32="","",IFERROR(VLOOKUP(C32,Products!$A$6:$B$110,2,FALSE),"INVALID SKU"))</x:f>
      </x:c>
      <x:c r="E32" s="20"/>
      <x:c r="F32" s="20"/>
      <x:c r="G32" s="20"/>
    </x:row>
    <x:row r="33" ht="22" customHeight="1">
      <x:c r="A33" s="20"/>
      <x:c r="B33" s="22"/>
      <x:c r="C33" s="20"/>
      <x:c r="D33" t="str">
        <x:f>IF(C33="","",IFERROR(VLOOKUP(C33,Products!$A$6:$B$110,2,FALSE),"INVALID SKU"))</x:f>
      </x:c>
      <x:c r="E33" s="20"/>
      <x:c r="F33" s="20"/>
      <x:c r="G33" s="20"/>
    </x:row>
    <x:row r="34" ht="22" customHeight="1">
      <x:c r="A34" s="20"/>
      <x:c r="B34" s="22"/>
      <x:c r="C34" s="20"/>
      <x:c r="D34" t="str">
        <x:f>IF(C34="","",IFERROR(VLOOKUP(C34,Products!$A$6:$B$110,2,FALSE),"INVALID SKU"))</x:f>
      </x:c>
      <x:c r="E34" s="20"/>
      <x:c r="F34" s="20"/>
      <x:c r="G34" s="20"/>
    </x:row>
    <x:row r="35" ht="22" customHeight="1">
      <x:c r="A35" s="20"/>
      <x:c r="B35" s="22"/>
      <x:c r="C35" s="20"/>
      <x:c r="D35" t="str">
        <x:f>IF(C35="","",IFERROR(VLOOKUP(C35,Products!$A$6:$B$110,2,FALSE),"INVALID SKU"))</x:f>
      </x:c>
      <x:c r="E35" s="20"/>
      <x:c r="F35" s="20"/>
      <x:c r="G35" s="20"/>
    </x:row>
    <x:row r="36" ht="22" customHeight="1">
      <x:c r="A36" s="20"/>
      <x:c r="B36" s="22"/>
      <x:c r="C36" s="20"/>
      <x:c r="D36" t="str">
        <x:f>IF(C36="","",IFERROR(VLOOKUP(C36,Products!$A$6:$B$110,2,FALSE),"INVALID SKU"))</x:f>
      </x:c>
      <x:c r="E36" s="20"/>
      <x:c r="F36" s="20"/>
      <x:c r="G36" s="20"/>
    </x:row>
    <x:row r="37" ht="22" customHeight="1">
      <x:c r="A37" s="20"/>
      <x:c r="B37" s="22"/>
      <x:c r="C37" s="20"/>
      <x:c r="D37" t="str">
        <x:f>IF(C37="","",IFERROR(VLOOKUP(C37,Products!$A$6:$B$110,2,FALSE),"INVALID SKU"))</x:f>
      </x:c>
      <x:c r="E37" s="20"/>
      <x:c r="F37" s="20"/>
      <x:c r="G37" s="20"/>
    </x:row>
    <x:row r="38" ht="22" customHeight="1">
      <x:c r="A38" s="20"/>
      <x:c r="B38" s="22"/>
      <x:c r="C38" s="20"/>
      <x:c r="D38" t="str">
        <x:f>IF(C38="","",IFERROR(VLOOKUP(C38,Products!$A$6:$B$110,2,FALSE),"INVALID SKU"))</x:f>
      </x:c>
      <x:c r="E38" s="20"/>
      <x:c r="F38" s="20"/>
      <x:c r="G38" s="20"/>
    </x:row>
    <x:row r="39" ht="22" customHeight="1">
      <x:c r="A39" s="20"/>
      <x:c r="B39" s="22"/>
      <x:c r="C39" s="20"/>
      <x:c r="D39" t="str">
        <x:f>IF(C39="","",IFERROR(VLOOKUP(C39,Products!$A$6:$B$110,2,FALSE),"INVALID SKU"))</x:f>
      </x:c>
      <x:c r="E39" s="20"/>
      <x:c r="F39" s="20"/>
      <x:c r="G39" s="20"/>
    </x:row>
    <x:row r="40" ht="22" customHeight="1">
      <x:c r="A40" s="20"/>
      <x:c r="B40" s="22"/>
      <x:c r="C40" s="20"/>
      <x:c r="D40" t="str">
        <x:f>IF(C40="","",IFERROR(VLOOKUP(C40,Products!$A$6:$B$110,2,FALSE),"INVALID SKU"))</x:f>
      </x:c>
      <x:c r="E40" s="20"/>
      <x:c r="F40" s="20"/>
      <x:c r="G40" s="20"/>
    </x:row>
    <x:row r="41" ht="22" customHeight="1">
      <x:c r="A41" s="20"/>
      <x:c r="B41" s="22"/>
      <x:c r="C41" s="20"/>
      <x:c r="D41" t="str">
        <x:f>IF(C41="","",IFERROR(VLOOKUP(C41,Products!$A$6:$B$110,2,FALSE),"INVALID SKU"))</x:f>
      </x:c>
      <x:c r="E41" s="20"/>
      <x:c r="F41" s="20"/>
      <x:c r="G41" s="20"/>
    </x:row>
    <x:row r="42" ht="22" customHeight="1">
      <x:c r="A42" s="20"/>
      <x:c r="B42" s="22"/>
      <x:c r="C42" s="20"/>
      <x:c r="D42" t="str">
        <x:f>IF(C42="","",IFERROR(VLOOKUP(C42,Products!$A$6:$B$110,2,FALSE),"INVALID SKU"))</x:f>
      </x:c>
      <x:c r="E42" s="20"/>
      <x:c r="F42" s="20"/>
      <x:c r="G42" s="20"/>
    </x:row>
    <x:row r="43" ht="22" customHeight="1">
      <x:c r="A43" s="20"/>
      <x:c r="B43" s="22"/>
      <x:c r="C43" s="20"/>
      <x:c r="D43" t="str">
        <x:f>IF(C43="","",IFERROR(VLOOKUP(C43,Products!$A$6:$B$110,2,FALSE),"INVALID SKU"))</x:f>
      </x:c>
      <x:c r="E43" s="20"/>
      <x:c r="F43" s="20"/>
      <x:c r="G43" s="20"/>
    </x:row>
    <x:row r="44" ht="22" customHeight="1">
      <x:c r="A44" s="20"/>
      <x:c r="B44" s="22"/>
      <x:c r="C44" s="20"/>
      <x:c r="D44" t="str">
        <x:f>IF(C44="","",IFERROR(VLOOKUP(C44,Products!$A$6:$B$110,2,FALSE),"INVALID SKU"))</x:f>
      </x:c>
      <x:c r="E44" s="20"/>
      <x:c r="F44" s="20"/>
      <x:c r="G44" s="20"/>
    </x:row>
    <x:row r="45" ht="22" customHeight="1">
      <x:c r="A45" s="20"/>
      <x:c r="B45" s="22"/>
      <x:c r="C45" s="20"/>
      <x:c r="D45" t="str">
        <x:f>IF(C45="","",IFERROR(VLOOKUP(C45,Products!$A$6:$B$110,2,FALSE),"INVALID SKU"))</x:f>
      </x:c>
      <x:c r="E45" s="20"/>
      <x:c r="F45" s="20"/>
      <x:c r="G45" s="20"/>
    </x:row>
    <x:row r="46" ht="22" customHeight="1">
      <x:c r="A46" s="20"/>
      <x:c r="B46" s="22"/>
      <x:c r="C46" s="20"/>
      <x:c r="D46" t="str">
        <x:f>IF(C46="","",IFERROR(VLOOKUP(C46,Products!$A$6:$B$110,2,FALSE),"INVALID SKU"))</x:f>
      </x:c>
      <x:c r="E46" s="20"/>
      <x:c r="F46" s="20"/>
      <x:c r="G46" s="20"/>
    </x:row>
    <x:row r="47" ht="22" customHeight="1">
      <x:c r="A47" s="20"/>
      <x:c r="B47" s="22"/>
      <x:c r="C47" s="20"/>
      <x:c r="D47" t="str">
        <x:f>IF(C47="","",IFERROR(VLOOKUP(C47,Products!$A$6:$B$110,2,FALSE),"INVALID SKU"))</x:f>
      </x:c>
      <x:c r="E47" s="20"/>
      <x:c r="F47" s="20"/>
      <x:c r="G47" s="20"/>
    </x:row>
    <x:row r="48" ht="22" customHeight="1">
      <x:c r="A48" s="20"/>
      <x:c r="B48" s="22"/>
      <x:c r="C48" s="20"/>
      <x:c r="D48" t="str">
        <x:f>IF(C48="","",IFERROR(VLOOKUP(C48,Products!$A$6:$B$110,2,FALSE),"INVALID SKU"))</x:f>
      </x:c>
      <x:c r="E48" s="20"/>
      <x:c r="F48" s="20"/>
      <x:c r="G48" s="20"/>
    </x:row>
    <x:row r="49" ht="22" customHeight="1">
      <x:c r="A49" s="20"/>
      <x:c r="B49" s="22"/>
      <x:c r="C49" s="20"/>
      <x:c r="D49" t="str">
        <x:f>IF(C49="","",IFERROR(VLOOKUP(C49,Products!$A$6:$B$110,2,FALSE),"INVALID SKU"))</x:f>
      </x:c>
      <x:c r="E49" s="20"/>
      <x:c r="F49" s="20"/>
      <x:c r="G49" s="20"/>
    </x:row>
    <x:row r="50" ht="22" customHeight="1">
      <x:c r="A50" s="20"/>
      <x:c r="B50" s="22"/>
      <x:c r="C50" s="20"/>
      <x:c r="D50" t="str">
        <x:f>IF(C50="","",IFERROR(VLOOKUP(C50,Products!$A$6:$B$110,2,FALSE),"INVALID SKU"))</x:f>
      </x:c>
      <x:c r="E50" s="20"/>
      <x:c r="F50" s="20"/>
      <x:c r="G50" s="20"/>
    </x:row>
    <x:row r="51" ht="22" customHeight="1">
      <x:c r="A51" s="20"/>
      <x:c r="B51" s="22"/>
      <x:c r="C51" s="20"/>
      <x:c r="D51" t="str">
        <x:f>IF(C51="","",IFERROR(VLOOKUP(C51,Products!$A$6:$B$110,2,FALSE),"INVALID SKU"))</x:f>
      </x:c>
      <x:c r="E51" s="20"/>
      <x:c r="F51" s="20"/>
      <x:c r="G51" s="20"/>
    </x:row>
    <x:row r="52" ht="22" customHeight="1">
      <x:c r="A52" s="20"/>
      <x:c r="B52" s="22"/>
      <x:c r="C52" s="20"/>
      <x:c r="D52" t="str">
        <x:f>IF(C52="","",IFERROR(VLOOKUP(C52,Products!$A$6:$B$110,2,FALSE),"INVALID SKU"))</x:f>
      </x:c>
      <x:c r="E52" s="20"/>
      <x:c r="F52" s="20"/>
      <x:c r="G52" s="20"/>
    </x:row>
    <x:row r="53" ht="22" customHeight="1">
      <x:c r="A53" s="20"/>
      <x:c r="B53" s="22"/>
      <x:c r="C53" s="20"/>
      <x:c r="D53" t="str">
        <x:f>IF(C53="","",IFERROR(VLOOKUP(C53,Products!$A$6:$B$110,2,FALSE),"INVALID SKU"))</x:f>
      </x:c>
      <x:c r="E53" s="20"/>
      <x:c r="F53" s="20"/>
      <x:c r="G53" s="20"/>
    </x:row>
    <x:row r="54" ht="22" customHeight="1">
      <x:c r="A54" s="20"/>
      <x:c r="B54" s="22"/>
      <x:c r="C54" s="20"/>
      <x:c r="D54" t="str">
        <x:f>IF(C54="","",IFERROR(VLOOKUP(C54,Products!$A$6:$B$110,2,FALSE),"INVALID SKU"))</x:f>
      </x:c>
      <x:c r="E54" s="20"/>
      <x:c r="F54" s="20"/>
      <x:c r="G54" s="20"/>
    </x:row>
    <x:row r="55" ht="22" customHeight="1">
      <x:c r="A55" s="20"/>
      <x:c r="B55" s="22"/>
      <x:c r="C55" s="20"/>
      <x:c r="D55" t="str">
        <x:f>IF(C55="","",IFERROR(VLOOKUP(C55,Products!$A$6:$B$110,2,FALSE),"INVALID SKU"))</x:f>
      </x:c>
      <x:c r="E55" s="20"/>
      <x:c r="F55" s="20"/>
      <x:c r="G55" s="20"/>
    </x:row>
    <x:row r="56" ht="22" customHeight="1">
      <x:c r="A56" s="20"/>
      <x:c r="B56" s="22"/>
      <x:c r="C56" s="20"/>
      <x:c r="D56" t="str">
        <x:f>IF(C56="","",IFERROR(VLOOKUP(C56,Products!$A$6:$B$110,2,FALSE),"INVALID SKU"))</x:f>
      </x:c>
      <x:c r="E56" s="20"/>
      <x:c r="F56" s="20"/>
      <x:c r="G56" s="20"/>
    </x:row>
    <x:row r="57" ht="22" customHeight="1">
      <x:c r="A57" s="20"/>
      <x:c r="B57" s="22"/>
      <x:c r="C57" s="20"/>
      <x:c r="D57" t="str">
        <x:f>IF(C57="","",IFERROR(VLOOKUP(C57,Products!$A$6:$B$110,2,FALSE),"INVALID SKU"))</x:f>
      </x:c>
      <x:c r="E57" s="20"/>
      <x:c r="F57" s="20"/>
      <x:c r="G57" s="20"/>
    </x:row>
    <x:row r="58" ht="22" customHeight="1">
      <x:c r="A58" s="20"/>
      <x:c r="B58" s="22"/>
      <x:c r="C58" s="20"/>
      <x:c r="D58" t="str">
        <x:f>IF(C58="","",IFERROR(VLOOKUP(C58,Products!$A$6:$B$110,2,FALSE),"INVALID SKU"))</x:f>
      </x:c>
      <x:c r="E58" s="20"/>
      <x:c r="F58" s="20"/>
      <x:c r="G58" s="20"/>
    </x:row>
    <x:row r="59" ht="22" customHeight="1">
      <x:c r="A59" s="20"/>
      <x:c r="B59" s="22"/>
      <x:c r="C59" s="20"/>
      <x:c r="D59" t="str">
        <x:f>IF(C59="","",IFERROR(VLOOKUP(C59,Products!$A$6:$B$110,2,FALSE),"INVALID SKU"))</x:f>
      </x:c>
      <x:c r="E59" s="20"/>
      <x:c r="F59" s="20"/>
      <x:c r="G59" s="20"/>
    </x:row>
    <x:row r="60" ht="22" customHeight="1">
      <x:c r="A60" s="20"/>
      <x:c r="B60" s="22"/>
      <x:c r="C60" s="20"/>
      <x:c r="D60" t="str">
        <x:f>IF(C60="","",IFERROR(VLOOKUP(C60,Products!$A$6:$B$110,2,FALSE),"INVALID SKU"))</x:f>
      </x:c>
      <x:c r="E60" s="20"/>
      <x:c r="F60" s="20"/>
      <x:c r="G60" s="20"/>
    </x:row>
    <x:row r="61" ht="22" customHeight="1">
      <x:c r="A61" s="20"/>
      <x:c r="B61" s="22"/>
      <x:c r="C61" s="20"/>
      <x:c r="D61" t="str">
        <x:f>IF(C61="","",IFERROR(VLOOKUP(C61,Products!$A$6:$B$110,2,FALSE),"INVALID SKU"))</x:f>
      </x:c>
      <x:c r="E61" s="20"/>
      <x:c r="F61" s="20"/>
      <x:c r="G61" s="20"/>
    </x:row>
    <x:row r="62" ht="22" customHeight="1">
      <x:c r="A62" s="20"/>
      <x:c r="B62" s="22"/>
      <x:c r="C62" s="20"/>
      <x:c r="D62" t="str">
        <x:f>IF(C62="","",IFERROR(VLOOKUP(C62,Products!$A$6:$B$110,2,FALSE),"INVALID SKU"))</x:f>
      </x:c>
      <x:c r="E62" s="20"/>
      <x:c r="F62" s="20"/>
      <x:c r="G62" s="20"/>
    </x:row>
    <x:row r="63" ht="22" customHeight="1">
      <x:c r="A63" s="20"/>
      <x:c r="B63" s="22"/>
      <x:c r="C63" s="20"/>
      <x:c r="D63" t="str">
        <x:f>IF(C63="","",IFERROR(VLOOKUP(C63,Products!$A$6:$B$110,2,FALSE),"INVALID SKU"))</x:f>
      </x:c>
      <x:c r="E63" s="20"/>
      <x:c r="F63" s="20"/>
      <x:c r="G63" s="20"/>
    </x:row>
    <x:row r="64" ht="22" customHeight="1">
      <x:c r="A64" s="20"/>
      <x:c r="B64" s="22"/>
      <x:c r="C64" s="20"/>
      <x:c r="D64" t="str">
        <x:f>IF(C64="","",IFERROR(VLOOKUP(C64,Products!$A$6:$B$110,2,FALSE),"INVALID SKU"))</x:f>
      </x:c>
      <x:c r="E64" s="20"/>
      <x:c r="F64" s="20"/>
      <x:c r="G64" s="20"/>
    </x:row>
    <x:row r="65" ht="22" customHeight="1">
      <x:c r="A65" s="20"/>
      <x:c r="B65" s="22"/>
      <x:c r="C65" s="20"/>
      <x:c r="D65" t="str">
        <x:f>IF(C65="","",IFERROR(VLOOKUP(C65,Products!$A$6:$B$110,2,FALSE),"INVALID SKU"))</x:f>
      </x:c>
      <x:c r="E65" s="20"/>
      <x:c r="F65" s="20"/>
      <x:c r="G65" s="20"/>
    </x:row>
    <x:row r="66" ht="22" customHeight="1">
      <x:c r="A66" s="20"/>
      <x:c r="B66" s="22"/>
      <x:c r="C66" s="20"/>
      <x:c r="D66" t="str">
        <x:f>IF(C66="","",IFERROR(VLOOKUP(C66,Products!$A$6:$B$110,2,FALSE),"INVALID SKU"))</x:f>
      </x:c>
      <x:c r="E66" s="20"/>
      <x:c r="F66" s="20"/>
      <x:c r="G66" s="20"/>
    </x:row>
    <x:row r="67" ht="22" customHeight="1">
      <x:c r="A67" s="20"/>
      <x:c r="B67" s="22"/>
      <x:c r="C67" s="20"/>
      <x:c r="D67" t="str">
        <x:f>IF(C67="","",IFERROR(VLOOKUP(C67,Products!$A$6:$B$110,2,FALSE),"INVALID SKU"))</x:f>
      </x:c>
      <x:c r="E67" s="20"/>
      <x:c r="F67" s="20"/>
      <x:c r="G67" s="20"/>
    </x:row>
    <x:row r="68" ht="22" customHeight="1">
      <x:c r="A68" s="20"/>
      <x:c r="B68" s="22"/>
      <x:c r="C68" s="20"/>
      <x:c r="D68" t="str">
        <x:f>IF(C68="","",IFERROR(VLOOKUP(C68,Products!$A$6:$B$110,2,FALSE),"INVALID SKU"))</x:f>
      </x:c>
      <x:c r="E68" s="20"/>
      <x:c r="F68" s="20"/>
      <x:c r="G68" s="20"/>
    </x:row>
    <x:row r="69" ht="22" customHeight="1">
      <x:c r="A69" s="20"/>
      <x:c r="B69" s="22"/>
      <x:c r="C69" s="20"/>
      <x:c r="D69" t="str">
        <x:f>IF(C69="","",IFERROR(VLOOKUP(C69,Products!$A$6:$B$110,2,FALSE),"INVALID SKU"))</x:f>
      </x:c>
      <x:c r="E69" s="20"/>
      <x:c r="F69" s="20"/>
      <x:c r="G69" s="20"/>
    </x:row>
    <x:row r="70" ht="22" customHeight="1">
      <x:c r="A70" s="20"/>
      <x:c r="B70" s="22"/>
      <x:c r="C70" s="20"/>
      <x:c r="D70" t="str">
        <x:f>IF(C70="","",IFERROR(VLOOKUP(C70,Products!$A$6:$B$110,2,FALSE),"INVALID SKU"))</x:f>
      </x:c>
      <x:c r="E70" s="20"/>
      <x:c r="F70" s="20"/>
      <x:c r="G70" s="20"/>
    </x:row>
    <x:row r="71" ht="22" customHeight="1">
      <x:c r="A71" s="20"/>
      <x:c r="B71" s="22"/>
      <x:c r="C71" s="20"/>
      <x:c r="D71" t="str">
        <x:f>IF(C71="","",IFERROR(VLOOKUP(C71,Products!$A$6:$B$110,2,FALSE),"INVALID SKU"))</x:f>
      </x:c>
      <x:c r="E71" s="20"/>
      <x:c r="F71" s="20"/>
      <x:c r="G71" s="20"/>
    </x:row>
    <x:row r="72" ht="22" customHeight="1">
      <x:c r="A72" s="20"/>
      <x:c r="B72" s="22"/>
      <x:c r="C72" s="20"/>
      <x:c r="D72" t="str">
        <x:f>IF(C72="","",IFERROR(VLOOKUP(C72,Products!$A$6:$B$110,2,FALSE),"INVALID SKU"))</x:f>
      </x:c>
      <x:c r="E72" s="20"/>
      <x:c r="F72" s="20"/>
      <x:c r="G72" s="20"/>
    </x:row>
    <x:row r="73" ht="22" customHeight="1">
      <x:c r="A73" s="20"/>
      <x:c r="B73" s="22"/>
      <x:c r="C73" s="20"/>
      <x:c r="D73" t="str">
        <x:f>IF(C73="","",IFERROR(VLOOKUP(C73,Products!$A$6:$B$110,2,FALSE),"INVALID SKU"))</x:f>
      </x:c>
      <x:c r="E73" s="20"/>
      <x:c r="F73" s="20"/>
      <x:c r="G73" s="20"/>
    </x:row>
    <x:row r="74" ht="22" customHeight="1">
      <x:c r="A74" s="20"/>
      <x:c r="B74" s="22"/>
      <x:c r="C74" s="20"/>
      <x:c r="D74" t="str">
        <x:f>IF(C74="","",IFERROR(VLOOKUP(C74,Products!$A$6:$B$110,2,FALSE),"INVALID SKU"))</x:f>
      </x:c>
      <x:c r="E74" s="20"/>
      <x:c r="F74" s="20"/>
      <x:c r="G74" s="20"/>
    </x:row>
    <x:row r="75" ht="22" customHeight="1">
      <x:c r="A75" s="20"/>
      <x:c r="B75" s="22"/>
      <x:c r="C75" s="20"/>
      <x:c r="D75" t="str">
        <x:f>IF(C75="","",IFERROR(VLOOKUP(C75,Products!$A$6:$B$110,2,FALSE),"INVALID SKU"))</x:f>
      </x:c>
      <x:c r="E75" s="20"/>
      <x:c r="F75" s="20"/>
      <x:c r="G75" s="20"/>
    </x:row>
    <x:row r="76" ht="22" customHeight="1">
      <x:c r="A76" s="20"/>
      <x:c r="B76" s="22"/>
      <x:c r="C76" s="20"/>
      <x:c r="D76" t="str">
        <x:f>IF(C76="","",IFERROR(VLOOKUP(C76,Products!$A$6:$B$110,2,FALSE),"INVALID SKU"))</x:f>
      </x:c>
      <x:c r="E76" s="20"/>
      <x:c r="F76" s="20"/>
      <x:c r="G76" s="20"/>
    </x:row>
    <x:row r="77" ht="22" customHeight="1">
      <x:c r="A77" s="20"/>
      <x:c r="B77" s="22"/>
      <x:c r="C77" s="20"/>
      <x:c r="D77" t="str">
        <x:f>IF(C77="","",IFERROR(VLOOKUP(C77,Products!$A$6:$B$110,2,FALSE),"INVALID SKU"))</x:f>
      </x:c>
      <x:c r="E77" s="20"/>
      <x:c r="F77" s="20"/>
      <x:c r="G77" s="20"/>
    </x:row>
    <x:row r="78" ht="22" customHeight="1">
      <x:c r="A78" s="20"/>
      <x:c r="B78" s="22"/>
      <x:c r="C78" s="20"/>
      <x:c r="D78" t="str">
        <x:f>IF(C78="","",IFERROR(VLOOKUP(C78,Products!$A$6:$B$110,2,FALSE),"INVALID SKU"))</x:f>
      </x:c>
      <x:c r="E78" s="20"/>
      <x:c r="F78" s="20"/>
      <x:c r="G78" s="20"/>
    </x:row>
    <x:row r="79" ht="22" customHeight="1">
      <x:c r="A79" s="20"/>
      <x:c r="B79" s="22"/>
      <x:c r="C79" s="20"/>
      <x:c r="D79" t="str">
        <x:f>IF(C79="","",IFERROR(VLOOKUP(C79,Products!$A$6:$B$110,2,FALSE),"INVALID SKU"))</x:f>
      </x:c>
      <x:c r="E79" s="20"/>
      <x:c r="F79" s="20"/>
      <x:c r="G79" s="20"/>
    </x:row>
    <x:row r="80" ht="22" customHeight="1">
      <x:c r="A80" s="20"/>
      <x:c r="B80" s="22"/>
      <x:c r="C80" s="20"/>
      <x:c r="D80" t="str">
        <x:f>IF(C80="","",IFERROR(VLOOKUP(C80,Products!$A$6:$B$110,2,FALSE),"INVALID SKU"))</x:f>
      </x:c>
      <x:c r="E80" s="20"/>
      <x:c r="F80" s="20"/>
      <x:c r="G80" s="20"/>
    </x:row>
    <x:row r="81" ht="22" customHeight="1">
      <x:c r="A81" s="20"/>
      <x:c r="B81" s="22"/>
      <x:c r="C81" s="20"/>
      <x:c r="D81" t="str">
        <x:f>IF(C81="","",IFERROR(VLOOKUP(C81,Products!$A$6:$B$110,2,FALSE),"INVALID SKU"))</x:f>
      </x:c>
      <x:c r="E81" s="20"/>
      <x:c r="F81" s="20"/>
      <x:c r="G81" s="20"/>
    </x:row>
    <x:row r="82" ht="22" customHeight="1">
      <x:c r="A82" s="20"/>
      <x:c r="B82" s="22"/>
      <x:c r="C82" s="20"/>
      <x:c r="D82" t="str">
        <x:f>IF(C82="","",IFERROR(VLOOKUP(C82,Products!$A$6:$B$110,2,FALSE),"INVALID SKU"))</x:f>
      </x:c>
      <x:c r="E82" s="20"/>
      <x:c r="F82" s="20"/>
      <x:c r="G82" s="20"/>
    </x:row>
    <x:row r="83" ht="22" customHeight="1">
      <x:c r="A83" s="20"/>
      <x:c r="B83" s="22"/>
      <x:c r="C83" s="20"/>
      <x:c r="D83" t="str">
        <x:f>IF(C83="","",IFERROR(VLOOKUP(C83,Products!$A$6:$B$110,2,FALSE),"INVALID SKU"))</x:f>
      </x:c>
      <x:c r="E83" s="20"/>
      <x:c r="F83" s="20"/>
      <x:c r="G83" s="20"/>
    </x:row>
    <x:row r="84" ht="22" customHeight="1">
      <x:c r="A84" s="20"/>
      <x:c r="B84" s="22"/>
      <x:c r="C84" s="20"/>
      <x:c r="D84" t="str">
        <x:f>IF(C84="","",IFERROR(VLOOKUP(C84,Products!$A$6:$B$110,2,FALSE),"INVALID SKU"))</x:f>
      </x:c>
      <x:c r="E84" s="20"/>
      <x:c r="F84" s="20"/>
      <x:c r="G84" s="20"/>
    </x:row>
    <x:row r="85" ht="22" customHeight="1">
      <x:c r="A85" s="20"/>
      <x:c r="B85" s="22"/>
      <x:c r="C85" s="20"/>
      <x:c r="D85" t="str">
        <x:f>IF(C85="","",IFERROR(VLOOKUP(C85,Products!$A$6:$B$110,2,FALSE),"INVALID SKU"))</x:f>
      </x:c>
      <x:c r="E85" s="20"/>
      <x:c r="F85" s="20"/>
      <x:c r="G85" s="20"/>
    </x:row>
    <x:row r="86" ht="22" customHeight="1">
      <x:c r="A86" s="20"/>
      <x:c r="B86" s="22"/>
      <x:c r="C86" s="20"/>
      <x:c r="D86" t="str">
        <x:f>IF(C86="","",IFERROR(VLOOKUP(C86,Products!$A$6:$B$110,2,FALSE),"INVALID SKU"))</x:f>
      </x:c>
      <x:c r="E86" s="20"/>
      <x:c r="F86" s="20"/>
      <x:c r="G86" s="20"/>
    </x:row>
    <x:row r="87" ht="22" customHeight="1">
      <x:c r="A87" s="20"/>
      <x:c r="B87" s="22"/>
      <x:c r="C87" s="20"/>
      <x:c r="D87" t="str">
        <x:f>IF(C87="","",IFERROR(VLOOKUP(C87,Products!$A$6:$B$110,2,FALSE),"INVALID SKU"))</x:f>
      </x:c>
      <x:c r="E87" s="20"/>
      <x:c r="F87" s="20"/>
      <x:c r="G87" s="20"/>
    </x:row>
    <x:row r="88" ht="22" customHeight="1">
      <x:c r="A88" s="20"/>
      <x:c r="B88" s="22"/>
      <x:c r="C88" s="20"/>
      <x:c r="D88" t="str">
        <x:f>IF(C88="","",IFERROR(VLOOKUP(C88,Products!$A$6:$B$110,2,FALSE),"INVALID SKU"))</x:f>
      </x:c>
      <x:c r="E88" s="20"/>
      <x:c r="F88" s="20"/>
      <x:c r="G88" s="20"/>
    </x:row>
    <x:row r="89" ht="22" customHeight="1">
      <x:c r="A89" s="20"/>
      <x:c r="B89" s="22"/>
      <x:c r="C89" s="20"/>
      <x:c r="D89" t="str">
        <x:f>IF(C89="","",IFERROR(VLOOKUP(C89,Products!$A$6:$B$110,2,FALSE),"INVALID SKU"))</x:f>
      </x:c>
      <x:c r="E89" s="20"/>
      <x:c r="F89" s="20"/>
      <x:c r="G89" s="20"/>
    </x:row>
    <x:row r="90" ht="22" customHeight="1">
      <x:c r="A90" s="20"/>
      <x:c r="B90" s="22"/>
      <x:c r="C90" s="20"/>
      <x:c r="D90" t="str">
        <x:f>IF(C90="","",IFERROR(VLOOKUP(C90,Products!$A$6:$B$110,2,FALSE),"INVALID SKU"))</x:f>
      </x:c>
      <x:c r="E90" s="20"/>
      <x:c r="F90" s="20"/>
      <x:c r="G90" s="20"/>
    </x:row>
    <x:row r="91" ht="22" customHeight="1">
      <x:c r="A91" s="20"/>
      <x:c r="B91" s="22"/>
      <x:c r="C91" s="20"/>
      <x:c r="D91" t="str">
        <x:f>IF(C91="","",IFERROR(VLOOKUP(C91,Products!$A$6:$B$110,2,FALSE),"INVALID SKU"))</x:f>
      </x:c>
      <x:c r="E91" s="20"/>
      <x:c r="F91" s="20"/>
      <x:c r="G91" s="20"/>
    </x:row>
    <x:row r="92" ht="22" customHeight="1">
      <x:c r="A92" s="20"/>
      <x:c r="B92" s="22"/>
      <x:c r="C92" s="20"/>
      <x:c r="D92" t="str">
        <x:f>IF(C92="","",IFERROR(VLOOKUP(C92,Products!$A$6:$B$110,2,FALSE),"INVALID SKU"))</x:f>
      </x:c>
      <x:c r="E92" s="20"/>
      <x:c r="F92" s="20"/>
      <x:c r="G92" s="20"/>
    </x:row>
    <x:row r="93" ht="22" customHeight="1">
      <x:c r="A93" s="20"/>
      <x:c r="B93" s="22"/>
      <x:c r="C93" s="20"/>
      <x:c r="D93" t="str">
        <x:f>IF(C93="","",IFERROR(VLOOKUP(C93,Products!$A$6:$B$110,2,FALSE),"INVALID SKU"))</x:f>
      </x:c>
      <x:c r="E93" s="20"/>
      <x:c r="F93" s="20"/>
      <x:c r="G93" s="20"/>
    </x:row>
    <x:row r="94" ht="22" customHeight="1">
      <x:c r="A94" s="20"/>
      <x:c r="B94" s="22"/>
      <x:c r="C94" s="20"/>
      <x:c r="D94" t="str">
        <x:f>IF(C94="","",IFERROR(VLOOKUP(C94,Products!$A$6:$B$110,2,FALSE),"INVALID SKU"))</x:f>
      </x:c>
      <x:c r="E94" s="20"/>
      <x:c r="F94" s="20"/>
      <x:c r="G94" s="20"/>
    </x:row>
    <x:row r="95" ht="22" customHeight="1">
      <x:c r="A95" s="20"/>
      <x:c r="B95" s="22"/>
      <x:c r="C95" s="20"/>
      <x:c r="D95" t="str">
        <x:f>IF(C95="","",IFERROR(VLOOKUP(C95,Products!$A$6:$B$110,2,FALSE),"INVALID SKU"))</x:f>
      </x:c>
      <x:c r="E95" s="20"/>
      <x:c r="F95" s="20"/>
      <x:c r="G95" s="20"/>
    </x:row>
    <x:row r="96" ht="22" customHeight="1">
      <x:c r="A96" s="20"/>
      <x:c r="B96" s="22"/>
      <x:c r="C96" s="20"/>
      <x:c r="D96" t="str">
        <x:f>IF(C96="","",IFERROR(VLOOKUP(C96,Products!$A$6:$B$110,2,FALSE),"INVALID SKU"))</x:f>
      </x:c>
      <x:c r="E96" s="20"/>
      <x:c r="F96" s="20"/>
      <x:c r="G96" s="20"/>
    </x:row>
    <x:row r="97" ht="22" customHeight="1">
      <x:c r="A97" s="20"/>
      <x:c r="B97" s="22"/>
      <x:c r="C97" s="20"/>
      <x:c r="D97" t="str">
        <x:f>IF(C97="","",IFERROR(VLOOKUP(C97,Products!$A$6:$B$110,2,FALSE),"INVALID SKU"))</x:f>
      </x:c>
      <x:c r="E97" s="20"/>
      <x:c r="F97" s="20"/>
      <x:c r="G97" s="20"/>
    </x:row>
    <x:row r="98" ht="22" customHeight="1">
      <x:c r="A98" s="20"/>
      <x:c r="B98" s="22"/>
      <x:c r="C98" s="20"/>
      <x:c r="D98" t="str">
        <x:f>IF(C98="","",IFERROR(VLOOKUP(C98,Products!$A$6:$B$110,2,FALSE),"INVALID SKU"))</x:f>
      </x:c>
      <x:c r="E98" s="20"/>
      <x:c r="F98" s="20"/>
      <x:c r="G98" s="20"/>
    </x:row>
    <x:row r="99" ht="22" customHeight="1">
      <x:c r="A99" s="20"/>
      <x:c r="B99" s="22"/>
      <x:c r="C99" s="20"/>
      <x:c r="D99" t="str">
        <x:f>IF(C99="","",IFERROR(VLOOKUP(C99,Products!$A$6:$B$110,2,FALSE),"INVALID SKU"))</x:f>
      </x:c>
      <x:c r="E99" s="20"/>
      <x:c r="F99" s="20"/>
      <x:c r="G99" s="20"/>
    </x:row>
    <x:row r="100" ht="22" customHeight="1">
      <x:c r="A100" s="20"/>
      <x:c r="B100" s="22"/>
      <x:c r="C100" s="20"/>
      <x:c r="D100" t="str">
        <x:f>IF(C100="","",IFERROR(VLOOKUP(C100,Products!$A$6:$B$110,2,FALSE),"INVALID SKU"))</x:f>
      </x:c>
      <x:c r="E100" s="20"/>
      <x:c r="F100" s="20"/>
      <x:c r="G100" s="20"/>
    </x:row>
    <x:row r="101" ht="22" customHeight="1">
      <x:c r="A101" s="20"/>
      <x:c r="B101" s="22"/>
      <x:c r="C101" s="20"/>
      <x:c r="D101" t="str">
        <x:f>IF(C101="","",IFERROR(VLOOKUP(C101,Products!$A$6:$B$110,2,FALSE),"INVALID SKU"))</x:f>
      </x:c>
      <x:c r="E101" s="20"/>
      <x:c r="F101" s="20"/>
      <x:c r="G101" s="20"/>
    </x:row>
    <x:row r="102" ht="22" customHeight="1">
      <x:c r="A102" s="20"/>
      <x:c r="B102" s="22"/>
      <x:c r="C102" s="20"/>
      <x:c r="D102" t="str">
        <x:f>IF(C102="","",IFERROR(VLOOKUP(C102,Products!$A$6:$B$110,2,FALSE),"INVALID SKU"))</x:f>
      </x:c>
      <x:c r="E102" s="20"/>
      <x:c r="F102" s="20"/>
      <x:c r="G102" s="20"/>
    </x:row>
    <x:row r="103" ht="22" customHeight="1">
      <x:c r="A103" s="20"/>
      <x:c r="B103" s="22"/>
      <x:c r="C103" s="20"/>
      <x:c r="D103" t="str">
        <x:f>IF(C103="","",IFERROR(VLOOKUP(C103,Products!$A$6:$B$110,2,FALSE),"INVALID SKU"))</x:f>
      </x:c>
      <x:c r="E103" s="20"/>
      <x:c r="F103" s="20"/>
      <x:c r="G103" s="20"/>
    </x:row>
    <x:row r="104" ht="22" customHeight="1">
      <x:c r="A104" s="20"/>
      <x:c r="B104" s="22"/>
      <x:c r="C104" s="20"/>
      <x:c r="D104" t="str">
        <x:f>IF(C104="","",IFERROR(VLOOKUP(C104,Products!$A$6:$B$110,2,FALSE),"INVALID SKU"))</x:f>
      </x:c>
      <x:c r="E104" s="20"/>
      <x:c r="F104" s="20"/>
      <x:c r="G104" s="20"/>
    </x:row>
    <x:row r="105" ht="22" customHeight="1">
      <x:c r="A105" s="20"/>
      <x:c r="B105" s="22"/>
      <x:c r="C105" s="20"/>
      <x:c r="D105" t="str">
        <x:f>IF(C105="","",IFERROR(VLOOKUP(C105,Products!$A$6:$B$110,2,FALSE),"INVALID SKU"))</x:f>
      </x:c>
      <x:c r="E105" s="20"/>
      <x:c r="F105" s="20"/>
      <x:c r="G105" s="20"/>
    </x:row>
    <x:row r="106" ht="22" customHeight="1">
      <x:c r="A106" s="20"/>
      <x:c r="B106" s="22"/>
      <x:c r="C106" s="20"/>
      <x:c r="D106" t="str">
        <x:f>IF(C106="","",IFERROR(VLOOKUP(C106,Products!$A$6:$B$110,2,FALSE),"INVALID SKU"))</x:f>
      </x:c>
      <x:c r="E106" s="20"/>
      <x:c r="F106" s="20"/>
      <x:c r="G106" s="20"/>
    </x:row>
    <x:row r="107" ht="22" customHeight="1">
      <x:c r="A107" s="20"/>
      <x:c r="B107" s="22"/>
      <x:c r="C107" s="20"/>
      <x:c r="D107" t="str">
        <x:f>IF(C107="","",IFERROR(VLOOKUP(C107,Products!$A$6:$B$110,2,FALSE),"INVALID SKU"))</x:f>
      </x:c>
      <x:c r="E107" s="20"/>
      <x:c r="F107" s="20"/>
      <x:c r="G107" s="20"/>
    </x:row>
    <x:row r="108" ht="22" customHeight="1">
      <x:c r="A108" s="20"/>
      <x:c r="B108" s="22"/>
      <x:c r="C108" s="20"/>
      <x:c r="D108" t="str">
        <x:f>IF(C108="","",IFERROR(VLOOKUP(C108,Products!$A$6:$B$110,2,FALSE),"INVALID SKU"))</x:f>
      </x:c>
      <x:c r="E108" s="20"/>
      <x:c r="F108" s="20"/>
      <x:c r="G108" s="20"/>
    </x:row>
    <x:row r="109" ht="22" customHeight="1">
      <x:c r="A109" s="20"/>
      <x:c r="B109" s="22"/>
      <x:c r="C109" s="20"/>
      <x:c r="D109" t="str">
        <x:f>IF(C109="","",IFERROR(VLOOKUP(C109,Products!$A$6:$B$110,2,FALSE),"INVALID SKU"))</x:f>
      </x:c>
      <x:c r="E109" s="20"/>
      <x:c r="F109" s="20"/>
      <x:c r="G109" s="20"/>
    </x:row>
    <x:row r="110" ht="22" customHeight="1">
      <x:c r="A110" s="20"/>
      <x:c r="B110" s="22"/>
      <x:c r="C110" s="20"/>
      <x:c r="D110" t="str">
        <x:f>IF(C110="","",IFERROR(VLOOKUP(C110,Products!$A$6:$B$110,2,FALSE),"INVALID SKU"))</x:f>
      </x:c>
      <x:c r="E110" s="20"/>
      <x:c r="F110" s="20"/>
      <x:c r="G110" s="20"/>
    </x:row>
    <x:row r="111" ht="22" customHeight="1">
      <x:c r="A111" s="20"/>
      <x:c r="B111" s="22"/>
      <x:c r="C111" s="20"/>
      <x:c r="D111" t="str">
        <x:f>IF(C111="","",IFERROR(VLOOKUP(C111,Products!$A$6:$B$110,2,FALSE),"INVALID SKU"))</x:f>
      </x:c>
      <x:c r="E111" s="20"/>
      <x:c r="F111" s="20"/>
      <x:c r="G111" s="20"/>
    </x:row>
    <x:row r="112" ht="22" customHeight="1">
      <x:c r="A112" s="20"/>
      <x:c r="B112" s="22"/>
      <x:c r="C112" s="20"/>
      <x:c r="D112" t="str">
        <x:f>IF(C112="","",IFERROR(VLOOKUP(C112,Products!$A$6:$B$110,2,FALSE),"INVALID SKU"))</x:f>
      </x:c>
      <x:c r="E112" s="20"/>
      <x:c r="F112" s="20"/>
      <x:c r="G112" s="20"/>
    </x:row>
    <x:row r="113" ht="22" customHeight="1">
      <x:c r="A113" s="20"/>
      <x:c r="B113" s="22"/>
      <x:c r="C113" s="20"/>
      <x:c r="D113" t="str">
        <x:f>IF(C113="","",IFERROR(VLOOKUP(C113,Products!$A$6:$B$110,2,FALSE),"INVALID SKU"))</x:f>
      </x:c>
      <x:c r="E113" s="20"/>
      <x:c r="F113" s="20"/>
      <x:c r="G113" s="20"/>
    </x:row>
    <x:row r="114" ht="22" customHeight="1">
      <x:c r="A114" s="20"/>
      <x:c r="B114" s="22"/>
      <x:c r="C114" s="20"/>
      <x:c r="D114" t="str">
        <x:f>IF(C114="","",IFERROR(VLOOKUP(C114,Products!$A$6:$B$110,2,FALSE),"INVALID SKU"))</x:f>
      </x:c>
      <x:c r="E114" s="20"/>
      <x:c r="F114" s="20"/>
      <x:c r="G114" s="20"/>
    </x:row>
    <x:row r="115" ht="22" customHeight="1">
      <x:c r="A115" s="20"/>
      <x:c r="B115" s="22"/>
      <x:c r="C115" s="20"/>
      <x:c r="D115" t="str">
        <x:f>IF(C115="","",IFERROR(VLOOKUP(C115,Products!$A$6:$B$110,2,FALSE),"INVALID SKU"))</x:f>
      </x:c>
      <x:c r="E115" s="20"/>
      <x:c r="F115" s="20"/>
      <x:c r="G115" s="20"/>
    </x:row>
    <x:row r="116" ht="22" customHeight="1">
      <x:c r="A116" s="20"/>
      <x:c r="B116" s="22"/>
      <x:c r="C116" s="20"/>
      <x:c r="D116" t="str">
        <x:f>IF(C116="","",IFERROR(VLOOKUP(C116,Products!$A$6:$B$110,2,FALSE),"INVALID SKU"))</x:f>
      </x:c>
      <x:c r="E116" s="20"/>
      <x:c r="F116" s="20"/>
      <x:c r="G116" s="20"/>
    </x:row>
    <x:row r="117" ht="22" customHeight="1">
      <x:c r="A117" s="20"/>
      <x:c r="B117" s="22"/>
      <x:c r="C117" s="20"/>
      <x:c r="D117" t="str">
        <x:f>IF(C117="","",IFERROR(VLOOKUP(C117,Products!$A$6:$B$110,2,FALSE),"INVALID SKU"))</x:f>
      </x:c>
      <x:c r="E117" s="20"/>
      <x:c r="F117" s="20"/>
      <x:c r="G117" s="20"/>
    </x:row>
    <x:row r="118" ht="22" customHeight="1">
      <x:c r="A118" s="20"/>
      <x:c r="B118" s="22"/>
      <x:c r="C118" s="20"/>
      <x:c r="D118" t="str">
        <x:f>IF(C118="","",IFERROR(VLOOKUP(C118,Products!$A$6:$B$110,2,FALSE),"INVALID SKU"))</x:f>
      </x:c>
      <x:c r="E118" s="20"/>
      <x:c r="F118" s="20"/>
      <x:c r="G118" s="20"/>
    </x:row>
    <x:row r="119" ht="22" customHeight="1">
      <x:c r="A119" s="20"/>
      <x:c r="B119" s="22"/>
      <x:c r="C119" s="20"/>
      <x:c r="D119" t="str">
        <x:f>IF(C119="","",IFERROR(VLOOKUP(C119,Products!$A$6:$B$110,2,FALSE),"INVALID SKU"))</x:f>
      </x:c>
      <x:c r="E119" s="20"/>
      <x:c r="F119" s="20"/>
      <x:c r="G119" s="20"/>
    </x:row>
    <x:row r="120" ht="22" customHeight="1">
      <x:c r="A120" s="20"/>
      <x:c r="B120" s="22"/>
      <x:c r="C120" s="20"/>
      <x:c r="D120" t="str">
        <x:f>IF(C120="","",IFERROR(VLOOKUP(C120,Products!$A$6:$B$110,2,FALSE),"INVALID SKU"))</x:f>
      </x:c>
      <x:c r="E120" s="20"/>
      <x:c r="F120" s="20"/>
      <x:c r="G120" s="20"/>
    </x:row>
    <x:row r="121" ht="22" customHeight="1">
      <x:c r="A121" s="20"/>
      <x:c r="B121" s="22"/>
      <x:c r="C121" s="20"/>
      <x:c r="D121" t="str">
        <x:f>IF(C121="","",IFERROR(VLOOKUP(C121,Products!$A$6:$B$110,2,FALSE),"INVALID SKU"))</x:f>
      </x:c>
      <x:c r="E121" s="20"/>
      <x:c r="F121" s="20"/>
      <x:c r="G121" s="20"/>
    </x:row>
    <x:row r="122" ht="22" customHeight="1">
      <x:c r="A122" s="20"/>
      <x:c r="B122" s="22"/>
      <x:c r="C122" s="20"/>
      <x:c r="D122" t="str">
        <x:f>IF(C122="","",IFERROR(VLOOKUP(C122,Products!$A$6:$B$110,2,FALSE),"INVALID SKU"))</x:f>
      </x:c>
      <x:c r="E122" s="20"/>
      <x:c r="F122" s="20"/>
      <x:c r="G122" s="20"/>
    </x:row>
    <x:row r="123" ht="22" customHeight="1">
      <x:c r="A123" s="20"/>
      <x:c r="B123" s="22"/>
      <x:c r="C123" s="20"/>
      <x:c r="D123" t="str">
        <x:f>IF(C123="","",IFERROR(VLOOKUP(C123,Products!$A$6:$B$110,2,FALSE),"INVALID SKU"))</x:f>
      </x:c>
      <x:c r="E123" s="20"/>
      <x:c r="F123" s="20"/>
      <x:c r="G123" s="20"/>
    </x:row>
    <x:row r="124" ht="22" customHeight="1">
      <x:c r="A124" s="20"/>
      <x:c r="B124" s="22"/>
      <x:c r="C124" s="20"/>
      <x:c r="D124" t="str">
        <x:f>IF(C124="","",IFERROR(VLOOKUP(C124,Products!$A$6:$B$110,2,FALSE),"INVALID SKU"))</x:f>
      </x:c>
      <x:c r="E124" s="20"/>
      <x:c r="F124" s="20"/>
      <x:c r="G124" s="20"/>
    </x:row>
    <x:row r="125" ht="22" customHeight="1">
      <x:c r="A125" s="20"/>
      <x:c r="B125" s="22"/>
      <x:c r="C125" s="20"/>
      <x:c r="D125" t="str">
        <x:f>IF(C125="","",IFERROR(VLOOKUP(C125,Products!$A$6:$B$110,2,FALSE),"INVALID SKU"))</x:f>
      </x:c>
      <x:c r="E125" s="20"/>
      <x:c r="F125" s="20"/>
      <x:c r="G125" s="20"/>
    </x:row>
    <x:row r="126" ht="22" customHeight="1">
      <x:c r="A126" s="20"/>
      <x:c r="B126" s="22"/>
      <x:c r="C126" s="20"/>
      <x:c r="D126" t="str">
        <x:f>IF(C126="","",IFERROR(VLOOKUP(C126,Products!$A$6:$B$110,2,FALSE),"INVALID SKU"))</x:f>
      </x:c>
      <x:c r="E126" s="20"/>
      <x:c r="F126" s="20"/>
      <x:c r="G126" s="20"/>
    </x:row>
    <x:row r="127" ht="22" customHeight="1">
      <x:c r="A127" s="20"/>
      <x:c r="B127" s="22"/>
      <x:c r="C127" s="20"/>
      <x:c r="D127" t="str">
        <x:f>IF(C127="","",IFERROR(VLOOKUP(C127,Products!$A$6:$B$110,2,FALSE),"INVALID SKU"))</x:f>
      </x:c>
      <x:c r="E127" s="20"/>
      <x:c r="F127" s="20"/>
      <x:c r="G127" s="20"/>
    </x:row>
    <x:row r="128" ht="22" customHeight="1">
      <x:c r="A128" s="20"/>
      <x:c r="B128" s="22"/>
      <x:c r="C128" s="20"/>
      <x:c r="D128" t="str">
        <x:f>IF(C128="","",IFERROR(VLOOKUP(C128,Products!$A$6:$B$110,2,FALSE),"INVALID SKU"))</x:f>
      </x:c>
      <x:c r="E128" s="20"/>
      <x:c r="F128" s="20"/>
      <x:c r="G128" s="20"/>
    </x:row>
    <x:row r="129" ht="22" customHeight="1">
      <x:c r="A129" s="20"/>
      <x:c r="B129" s="22"/>
      <x:c r="C129" s="20"/>
      <x:c r="D129" t="str">
        <x:f>IF(C129="","",IFERROR(VLOOKUP(C129,Products!$A$6:$B$110,2,FALSE),"INVALID SKU"))</x:f>
      </x:c>
      <x:c r="E129" s="20"/>
      <x:c r="F129" s="20"/>
      <x:c r="G129" s="20"/>
    </x:row>
    <x:row r="130" ht="22" customHeight="1">
      <x:c r="A130" s="20"/>
      <x:c r="B130" s="22"/>
      <x:c r="C130" s="20"/>
      <x:c r="D130" t="str">
        <x:f>IF(C130="","",IFERROR(VLOOKUP(C130,Products!$A$6:$B$110,2,FALSE),"INVALID SKU"))</x:f>
      </x:c>
      <x:c r="E130" s="20"/>
      <x:c r="F130" s="20"/>
      <x:c r="G130" s="20"/>
    </x:row>
    <x:row r="131" ht="22" customHeight="1">
      <x:c r="A131" s="20"/>
      <x:c r="B131" s="22"/>
      <x:c r="C131" s="20"/>
      <x:c r="D131" t="str">
        <x:f>IF(C131="","",IFERROR(VLOOKUP(C131,Products!$A$6:$B$110,2,FALSE),"INVALID SKU"))</x:f>
      </x:c>
      <x:c r="E131" s="20"/>
      <x:c r="F131" s="20"/>
      <x:c r="G131" s="20"/>
    </x:row>
    <x:row r="132" ht="22" customHeight="1">
      <x:c r="A132" s="20"/>
      <x:c r="B132" s="22"/>
      <x:c r="C132" s="20"/>
      <x:c r="D132" t="str">
        <x:f>IF(C132="","",IFERROR(VLOOKUP(C132,Products!$A$6:$B$110,2,FALSE),"INVALID SKU"))</x:f>
      </x:c>
      <x:c r="E132" s="20"/>
      <x:c r="F132" s="20"/>
      <x:c r="G132" s="20"/>
    </x:row>
    <x:row r="133" ht="22" customHeight="1">
      <x:c r="A133" s="20"/>
      <x:c r="B133" s="22"/>
      <x:c r="C133" s="20"/>
      <x:c r="D133" t="str">
        <x:f>IF(C133="","",IFERROR(VLOOKUP(C133,Products!$A$6:$B$110,2,FALSE),"INVALID SKU"))</x:f>
      </x:c>
      <x:c r="E133" s="20"/>
      <x:c r="F133" s="20"/>
      <x:c r="G133" s="20"/>
    </x:row>
    <x:row r="134" ht="22" customHeight="1">
      <x:c r="A134" s="20"/>
      <x:c r="B134" s="22"/>
      <x:c r="C134" s="20"/>
      <x:c r="D134" t="str">
        <x:f>IF(C134="","",IFERROR(VLOOKUP(C134,Products!$A$6:$B$110,2,FALSE),"INVALID SKU"))</x:f>
      </x:c>
      <x:c r="E134" s="20"/>
      <x:c r="F134" s="20"/>
      <x:c r="G134" s="20"/>
    </x:row>
    <x:row r="135" ht="22" customHeight="1">
      <x:c r="A135" s="20"/>
      <x:c r="B135" s="22"/>
      <x:c r="C135" s="20"/>
      <x:c r="D135" t="str">
        <x:f>IF(C135="","",IFERROR(VLOOKUP(C135,Products!$A$6:$B$110,2,FALSE),"INVALID SKU"))</x:f>
      </x:c>
      <x:c r="E135" s="20"/>
      <x:c r="F135" s="20"/>
      <x:c r="G135" s="20"/>
    </x:row>
    <x:row r="136" ht="22" customHeight="1">
      <x:c r="A136" s="20"/>
      <x:c r="B136" s="22"/>
      <x:c r="C136" s="20"/>
      <x:c r="D136" t="str">
        <x:f>IF(C136="","",IFERROR(VLOOKUP(C136,Products!$A$6:$B$110,2,FALSE),"INVALID SKU"))</x:f>
      </x:c>
      <x:c r="E136" s="20"/>
      <x:c r="F136" s="20"/>
      <x:c r="G136" s="20"/>
    </x:row>
    <x:row r="137" ht="22" customHeight="1">
      <x:c r="A137" s="20"/>
      <x:c r="B137" s="22"/>
      <x:c r="C137" s="20"/>
      <x:c r="D137" t="str">
        <x:f>IF(C137="","",IFERROR(VLOOKUP(C137,Products!$A$6:$B$110,2,FALSE),"INVALID SKU"))</x:f>
      </x:c>
      <x:c r="E137" s="20"/>
      <x:c r="F137" s="20"/>
      <x:c r="G137" s="20"/>
    </x:row>
    <x:row r="138" ht="22" customHeight="1">
      <x:c r="A138" s="20"/>
      <x:c r="B138" s="22"/>
      <x:c r="C138" s="20"/>
      <x:c r="D138" t="str">
        <x:f>IF(C138="","",IFERROR(VLOOKUP(C138,Products!$A$6:$B$110,2,FALSE),"INVALID SKU"))</x:f>
      </x:c>
      <x:c r="E138" s="20"/>
      <x:c r="F138" s="20"/>
      <x:c r="G138" s="20"/>
    </x:row>
    <x:row r="139" ht="22" customHeight="1">
      <x:c r="A139" s="20"/>
      <x:c r="B139" s="22"/>
      <x:c r="C139" s="20"/>
      <x:c r="D139" t="str">
        <x:f>IF(C139="","",IFERROR(VLOOKUP(C139,Products!$A$6:$B$110,2,FALSE),"INVALID SKU"))</x:f>
      </x:c>
      <x:c r="E139" s="20"/>
      <x:c r="F139" s="20"/>
      <x:c r="G139" s="20"/>
    </x:row>
    <x:row r="140" ht="22" customHeight="1">
      <x:c r="A140" s="20"/>
      <x:c r="B140" s="22"/>
      <x:c r="C140" s="20"/>
      <x:c r="D140" t="str">
        <x:f>IF(C140="","",IFERROR(VLOOKUP(C140,Products!$A$6:$B$110,2,FALSE),"INVALID SKU"))</x:f>
      </x:c>
      <x:c r="E140" s="20"/>
      <x:c r="F140" s="20"/>
      <x:c r="G140" s="20"/>
    </x:row>
    <x:row r="141" ht="22" customHeight="1">
      <x:c r="A141" s="20"/>
      <x:c r="B141" s="22"/>
      <x:c r="C141" s="20"/>
      <x:c r="D141" t="str">
        <x:f>IF(C141="","",IFERROR(VLOOKUP(C141,Products!$A$6:$B$110,2,FALSE),"INVALID SKU"))</x:f>
      </x:c>
      <x:c r="E141" s="20"/>
      <x:c r="F141" s="20"/>
      <x:c r="G141" s="20"/>
    </x:row>
    <x:row r="142" ht="22" customHeight="1">
      <x:c r="A142" s="20"/>
      <x:c r="B142" s="22"/>
      <x:c r="C142" s="20"/>
      <x:c r="D142" t="str">
        <x:f>IF(C142="","",IFERROR(VLOOKUP(C142,Products!$A$6:$B$110,2,FALSE),"INVALID SKU"))</x:f>
      </x:c>
      <x:c r="E142" s="20"/>
      <x:c r="F142" s="20"/>
      <x:c r="G142" s="20"/>
    </x:row>
    <x:row r="143" ht="22" customHeight="1">
      <x:c r="A143" s="20"/>
      <x:c r="B143" s="22"/>
      <x:c r="C143" s="20"/>
      <x:c r="D143" t="str">
        <x:f>IF(C143="","",IFERROR(VLOOKUP(C143,Products!$A$6:$B$110,2,FALSE),"INVALID SKU"))</x:f>
      </x:c>
      <x:c r="E143" s="20"/>
      <x:c r="F143" s="20"/>
      <x:c r="G143" s="20"/>
    </x:row>
    <x:row r="144" ht="22" customHeight="1">
      <x:c r="A144" s="20"/>
      <x:c r="B144" s="22"/>
      <x:c r="C144" s="20"/>
      <x:c r="D144" t="str">
        <x:f>IF(C144="","",IFERROR(VLOOKUP(C144,Products!$A$6:$B$110,2,FALSE),"INVALID SKU"))</x:f>
      </x:c>
      <x:c r="E144" s="20"/>
      <x:c r="F144" s="20"/>
      <x:c r="G144" s="20"/>
    </x:row>
    <x:row r="145" ht="22" customHeight="1">
      <x:c r="A145" s="20"/>
      <x:c r="B145" s="22"/>
      <x:c r="C145" s="20"/>
      <x:c r="D145" t="str">
        <x:f>IF(C145="","",IFERROR(VLOOKUP(C145,Products!$A$6:$B$110,2,FALSE),"INVALID SKU"))</x:f>
      </x:c>
      <x:c r="E145" s="20"/>
      <x:c r="F145" s="20"/>
      <x:c r="G145" s="20"/>
    </x:row>
    <x:row r="146" ht="22" customHeight="1">
      <x:c r="A146" s="20"/>
      <x:c r="B146" s="22"/>
      <x:c r="C146" s="20"/>
      <x:c r="D146" t="str">
        <x:f>IF(C146="","",IFERROR(VLOOKUP(C146,Products!$A$6:$B$110,2,FALSE),"INVALID SKU"))</x:f>
      </x:c>
      <x:c r="E146" s="20"/>
      <x:c r="F146" s="20"/>
      <x:c r="G146" s="20"/>
    </x:row>
    <x:row r="147" ht="22" customHeight="1">
      <x:c r="A147" s="20"/>
      <x:c r="B147" s="22"/>
      <x:c r="C147" s="20"/>
      <x:c r="D147" t="str">
        <x:f>IF(C147="","",IFERROR(VLOOKUP(C147,Products!$A$6:$B$110,2,FALSE),"INVALID SKU"))</x:f>
      </x:c>
      <x:c r="E147" s="20"/>
      <x:c r="F147" s="20"/>
      <x:c r="G147" s="20"/>
    </x:row>
    <x:row r="148" ht="22" customHeight="1">
      <x:c r="A148" s="20"/>
      <x:c r="B148" s="22"/>
      <x:c r="C148" s="20"/>
      <x:c r="D148" t="str">
        <x:f>IF(C148="","",IFERROR(VLOOKUP(C148,Products!$A$6:$B$110,2,FALSE),"INVALID SKU"))</x:f>
      </x:c>
      <x:c r="E148" s="20"/>
      <x:c r="F148" s="20"/>
      <x:c r="G148" s="20"/>
    </x:row>
    <x:row r="149" ht="22" customHeight="1">
      <x:c r="A149" s="20"/>
      <x:c r="B149" s="22"/>
      <x:c r="C149" s="20"/>
      <x:c r="D149" t="str">
        <x:f>IF(C149="","",IFERROR(VLOOKUP(C149,Products!$A$6:$B$110,2,FALSE),"INVALID SKU"))</x:f>
      </x:c>
      <x:c r="E149" s="20"/>
      <x:c r="F149" s="20"/>
      <x:c r="G149" s="20"/>
    </x:row>
    <x:row r="150" ht="22" customHeight="1">
      <x:c r="A150" s="20"/>
      <x:c r="B150" s="22"/>
      <x:c r="C150" s="20"/>
      <x:c r="D150" t="str">
        <x:f>IF(C150="","",IFERROR(VLOOKUP(C150,Products!$A$6:$B$110,2,FALSE),"INVALID SKU"))</x:f>
      </x:c>
      <x:c r="E150" s="20"/>
      <x:c r="F150" s="20"/>
      <x:c r="G150" s="20"/>
    </x:row>
    <x:row r="151" ht="22" customHeight="1">
      <x:c r="A151" s="20"/>
      <x:c r="B151" s="22"/>
      <x:c r="C151" s="20"/>
      <x:c r="D151" t="str">
        <x:f>IF(C151="","",IFERROR(VLOOKUP(C151,Products!$A$6:$B$110,2,FALSE),"INVALID SKU"))</x:f>
      </x:c>
      <x:c r="E151" s="20"/>
      <x:c r="F151" s="20"/>
      <x:c r="G151" s="20"/>
    </x:row>
    <x:row r="152" ht="22" customHeight="1">
      <x:c r="A152" s="20"/>
      <x:c r="B152" s="22"/>
      <x:c r="C152" s="20"/>
      <x:c r="D152" t="str">
        <x:f>IF(C152="","",IFERROR(VLOOKUP(C152,Products!$A$6:$B$110,2,FALSE),"INVALID SKU"))</x:f>
      </x:c>
      <x:c r="E152" s="20"/>
      <x:c r="F152" s="20"/>
      <x:c r="G152" s="20"/>
    </x:row>
    <x:row r="153" ht="22" customHeight="1">
      <x:c r="A153" s="20"/>
      <x:c r="B153" s="22"/>
      <x:c r="C153" s="20"/>
      <x:c r="D153" t="str">
        <x:f>IF(C153="","",IFERROR(VLOOKUP(C153,Products!$A$6:$B$110,2,FALSE),"INVALID SKU"))</x:f>
      </x:c>
      <x:c r="E153" s="20"/>
      <x:c r="F153" s="20"/>
      <x:c r="G153" s="20"/>
    </x:row>
    <x:row r="154" ht="22" customHeight="1">
      <x:c r="A154" s="20"/>
      <x:c r="B154" s="22"/>
      <x:c r="C154" s="20"/>
      <x:c r="D154" t="str">
        <x:f>IF(C154="","",IFERROR(VLOOKUP(C154,Products!$A$6:$B$110,2,FALSE),"INVALID SKU"))</x:f>
      </x:c>
      <x:c r="E154" s="20"/>
      <x:c r="F154" s="20"/>
      <x:c r="G154" s="20"/>
    </x:row>
    <x:row r="155" ht="22" customHeight="1">
      <x:c r="A155" s="20"/>
      <x:c r="B155" s="22"/>
      <x:c r="C155" s="20"/>
      <x:c r="D155" t="str">
        <x:f>IF(C155="","",IFERROR(VLOOKUP(C155,Products!$A$6:$B$110,2,FALSE),"INVALID SKU"))</x:f>
      </x:c>
      <x:c r="E155" s="20"/>
      <x:c r="F155" s="20"/>
      <x:c r="G155" s="20"/>
    </x:row>
    <x:row r="156" ht="22" customHeight="1">
      <x:c r="A156" s="20"/>
      <x:c r="B156" s="22"/>
      <x:c r="C156" s="20"/>
      <x:c r="D156" t="str">
        <x:f>IF(C156="","",IFERROR(VLOOKUP(C156,Products!$A$6:$B$110,2,FALSE),"INVALID SKU"))</x:f>
      </x:c>
      <x:c r="E156" s="20"/>
      <x:c r="F156" s="20"/>
      <x:c r="G156" s="20"/>
    </x:row>
    <x:row r="157" ht="22" customHeight="1">
      <x:c r="A157" s="20"/>
      <x:c r="B157" s="22"/>
      <x:c r="C157" s="20"/>
      <x:c r="D157" t="str">
        <x:f>IF(C157="","",IFERROR(VLOOKUP(C157,Products!$A$6:$B$110,2,FALSE),"INVALID SKU"))</x:f>
      </x:c>
      <x:c r="E157" s="20"/>
      <x:c r="F157" s="20"/>
      <x:c r="G157" s="20"/>
    </x:row>
    <x:row r="158" ht="22" customHeight="1">
      <x:c r="A158" s="20"/>
      <x:c r="B158" s="22"/>
      <x:c r="C158" s="20"/>
      <x:c r="D158" t="str">
        <x:f>IF(C158="","",IFERROR(VLOOKUP(C158,Products!$A$6:$B$110,2,FALSE),"INVALID SKU"))</x:f>
      </x:c>
      <x:c r="E158" s="20"/>
      <x:c r="F158" s="20"/>
      <x:c r="G158" s="20"/>
    </x:row>
    <x:row r="159" ht="22" customHeight="1">
      <x:c r="A159" s="20"/>
      <x:c r="B159" s="22"/>
      <x:c r="C159" s="20"/>
      <x:c r="D159" t="str">
        <x:f>IF(C159="","",IFERROR(VLOOKUP(C159,Products!$A$6:$B$110,2,FALSE),"INVALID SKU"))</x:f>
      </x:c>
      <x:c r="E159" s="20"/>
      <x:c r="F159" s="20"/>
      <x:c r="G159" s="20"/>
    </x:row>
    <x:row r="160" ht="22" customHeight="1">
      <x:c r="A160" s="20"/>
      <x:c r="B160" s="22"/>
      <x:c r="C160" s="20"/>
      <x:c r="D160" t="str">
        <x:f>IF(C160="","",IFERROR(VLOOKUP(C160,Products!$A$6:$B$110,2,FALSE),"INVALID SKU"))</x:f>
      </x:c>
      <x:c r="E160" s="20"/>
      <x:c r="F160" s="20"/>
      <x:c r="G160" s="20"/>
    </x:row>
    <x:row r="161" ht="22" customHeight="1">
      <x:c r="A161" s="20"/>
      <x:c r="B161" s="22"/>
      <x:c r="C161" s="20"/>
      <x:c r="D161" t="str">
        <x:f>IF(C161="","",IFERROR(VLOOKUP(C161,Products!$A$6:$B$110,2,FALSE),"INVALID SKU"))</x:f>
      </x:c>
      <x:c r="E161" s="20"/>
      <x:c r="F161" s="20"/>
      <x:c r="G161" s="20"/>
    </x:row>
    <x:row r="162" ht="22" customHeight="1">
      <x:c r="A162" s="20"/>
      <x:c r="B162" s="22"/>
      <x:c r="C162" s="20"/>
      <x:c r="D162" t="str">
        <x:f>IF(C162="","",IFERROR(VLOOKUP(C162,Products!$A$6:$B$110,2,FALSE),"INVALID SKU"))</x:f>
      </x:c>
      <x:c r="E162" s="20"/>
      <x:c r="F162" s="20"/>
      <x:c r="G162" s="20"/>
    </x:row>
    <x:row r="163" ht="22" customHeight="1">
      <x:c r="A163" s="20"/>
      <x:c r="B163" s="22"/>
      <x:c r="C163" s="20"/>
      <x:c r="D163" t="str">
        <x:f>IF(C163="","",IFERROR(VLOOKUP(C163,Products!$A$6:$B$110,2,FALSE),"INVALID SKU"))</x:f>
      </x:c>
      <x:c r="E163" s="20"/>
      <x:c r="F163" s="20"/>
      <x:c r="G163" s="20"/>
    </x:row>
    <x:row r="164" ht="22" customHeight="1">
      <x:c r="A164" s="20"/>
      <x:c r="B164" s="22"/>
      <x:c r="C164" s="20"/>
      <x:c r="D164" t="str">
        <x:f>IF(C164="","",IFERROR(VLOOKUP(C164,Products!$A$6:$B$110,2,FALSE),"INVALID SKU"))</x:f>
      </x:c>
      <x:c r="E164" s="20"/>
      <x:c r="F164" s="20"/>
      <x:c r="G164" s="20"/>
    </x:row>
    <x:row r="165" ht="22" customHeight="1">
      <x:c r="A165" s="20"/>
      <x:c r="B165" s="22"/>
      <x:c r="C165" s="20"/>
      <x:c r="D165" t="str">
        <x:f>IF(C165="","",IFERROR(VLOOKUP(C165,Products!$A$6:$B$110,2,FALSE),"INVALID SKU"))</x:f>
      </x:c>
      <x:c r="E165" s="20"/>
      <x:c r="F165" s="20"/>
      <x:c r="G165" s="20"/>
    </x:row>
    <x:row r="166" ht="22" customHeight="1">
      <x:c r="A166" s="20"/>
      <x:c r="B166" s="22"/>
      <x:c r="C166" s="20"/>
      <x:c r="D166" t="str">
        <x:f>IF(C166="","",IFERROR(VLOOKUP(C166,Products!$A$6:$B$110,2,FALSE),"INVALID SKU"))</x:f>
      </x:c>
      <x:c r="E166" s="20"/>
      <x:c r="F166" s="20"/>
      <x:c r="G166" s="20"/>
    </x:row>
    <x:row r="167" ht="22" customHeight="1">
      <x:c r="A167" s="20"/>
      <x:c r="B167" s="22"/>
      <x:c r="C167" s="20"/>
      <x:c r="D167" t="str">
        <x:f>IF(C167="","",IFERROR(VLOOKUP(C167,Products!$A$6:$B$110,2,FALSE),"INVALID SKU"))</x:f>
      </x:c>
      <x:c r="E167" s="20"/>
      <x:c r="F167" s="20"/>
      <x:c r="G167" s="20"/>
    </x:row>
    <x:row r="168" ht="22" customHeight="1">
      <x:c r="A168" s="20"/>
      <x:c r="B168" s="22"/>
      <x:c r="C168" s="20"/>
      <x:c r="D168" t="str">
        <x:f>IF(C168="","",IFERROR(VLOOKUP(C168,Products!$A$6:$B$110,2,FALSE),"INVALID SKU"))</x:f>
      </x:c>
      <x:c r="E168" s="20"/>
      <x:c r="F168" s="20"/>
      <x:c r="G168" s="20"/>
    </x:row>
    <x:row r="169" ht="22" customHeight="1">
      <x:c r="A169" s="20"/>
      <x:c r="B169" s="22"/>
      <x:c r="C169" s="20"/>
      <x:c r="D169" t="str">
        <x:f>IF(C169="","",IFERROR(VLOOKUP(C169,Products!$A$6:$B$110,2,FALSE),"INVALID SKU"))</x:f>
      </x:c>
      <x:c r="E169" s="20"/>
      <x:c r="F169" s="20"/>
      <x:c r="G169" s="20"/>
    </x:row>
    <x:row r="170" ht="22" customHeight="1">
      <x:c r="A170" s="20"/>
      <x:c r="B170" s="22"/>
      <x:c r="C170" s="20"/>
      <x:c r="D170" t="str">
        <x:f>IF(C170="","",IFERROR(VLOOKUP(C170,Products!$A$6:$B$110,2,FALSE),"INVALID SKU"))</x:f>
      </x:c>
      <x:c r="E170" s="20"/>
      <x:c r="F170" s="20"/>
      <x:c r="G170" s="20"/>
    </x:row>
    <x:row r="171" ht="22" customHeight="1">
      <x:c r="A171" s="20"/>
      <x:c r="B171" s="22"/>
      <x:c r="C171" s="20"/>
      <x:c r="D171" t="str">
        <x:f>IF(C171="","",IFERROR(VLOOKUP(C171,Products!$A$6:$B$110,2,FALSE),"INVALID SKU"))</x:f>
      </x:c>
      <x:c r="E171" s="20"/>
      <x:c r="F171" s="20"/>
      <x:c r="G171" s="20"/>
    </x:row>
    <x:row r="172" ht="22" customHeight="1">
      <x:c r="A172" s="20"/>
      <x:c r="B172" s="22"/>
      <x:c r="C172" s="20"/>
      <x:c r="D172" t="str">
        <x:f>IF(C172="","",IFERROR(VLOOKUP(C172,Products!$A$6:$B$110,2,FALSE),"INVALID SKU"))</x:f>
      </x:c>
      <x:c r="E172" s="20"/>
      <x:c r="F172" s="20"/>
      <x:c r="G172" s="20"/>
    </x:row>
    <x:row r="173" ht="22" customHeight="1">
      <x:c r="A173" s="20"/>
      <x:c r="B173" s="22"/>
      <x:c r="C173" s="20"/>
      <x:c r="D173" t="str">
        <x:f>IF(C173="","",IFERROR(VLOOKUP(C173,Products!$A$6:$B$110,2,FALSE),"INVALID SKU"))</x:f>
      </x:c>
      <x:c r="E173" s="20"/>
      <x:c r="F173" s="20"/>
      <x:c r="G173" s="20"/>
    </x:row>
    <x:row r="174" ht="22" customHeight="1">
      <x:c r="A174" s="20"/>
      <x:c r="B174" s="22"/>
      <x:c r="C174" s="20"/>
      <x:c r="D174" t="str">
        <x:f>IF(C174="","",IFERROR(VLOOKUP(C174,Products!$A$6:$B$110,2,FALSE),"INVALID SKU"))</x:f>
      </x:c>
      <x:c r="E174" s="20"/>
      <x:c r="F174" s="20"/>
      <x:c r="G174" s="20"/>
    </x:row>
    <x:row r="175" ht="22" customHeight="1">
      <x:c r="A175" s="20"/>
      <x:c r="B175" s="22"/>
      <x:c r="C175" s="20"/>
      <x:c r="D175" t="str">
        <x:f>IF(C175="","",IFERROR(VLOOKUP(C175,Products!$A$6:$B$110,2,FALSE),"INVALID SKU"))</x:f>
      </x:c>
      <x:c r="E175" s="20"/>
      <x:c r="F175" s="20"/>
      <x:c r="G175" s="20"/>
    </x:row>
    <x:row r="176" ht="22" customHeight="1">
      <x:c r="A176" s="20"/>
      <x:c r="B176" s="22"/>
      <x:c r="C176" s="20"/>
      <x:c r="D176" t="str">
        <x:f>IF(C176="","",IFERROR(VLOOKUP(C176,Products!$A$6:$B$110,2,FALSE),"INVALID SKU"))</x:f>
      </x:c>
      <x:c r="E176" s="20"/>
      <x:c r="F176" s="20"/>
      <x:c r="G176" s="20"/>
    </x:row>
    <x:row r="177" ht="22" customHeight="1">
      <x:c r="A177" s="20"/>
      <x:c r="B177" s="22"/>
      <x:c r="C177" s="20"/>
      <x:c r="D177" t="str">
        <x:f>IF(C177="","",IFERROR(VLOOKUP(C177,Products!$A$6:$B$110,2,FALSE),"INVALID SKU"))</x:f>
      </x:c>
      <x:c r="E177" s="20"/>
      <x:c r="F177" s="20"/>
      <x:c r="G177" s="20"/>
    </x:row>
    <x:row r="178" ht="22" customHeight="1">
      <x:c r="A178" s="20"/>
      <x:c r="B178" s="22"/>
      <x:c r="C178" s="20"/>
      <x:c r="D178" t="str">
        <x:f>IF(C178="","",IFERROR(VLOOKUP(C178,Products!$A$6:$B$110,2,FALSE),"INVALID SKU"))</x:f>
      </x:c>
      <x:c r="E178" s="20"/>
      <x:c r="F178" s="20"/>
      <x:c r="G178" s="20"/>
    </x:row>
    <x:row r="179" ht="22" customHeight="1">
      <x:c r="A179" s="20"/>
      <x:c r="B179" s="22"/>
      <x:c r="C179" s="20"/>
      <x:c r="D179" t="str">
        <x:f>IF(C179="","",IFERROR(VLOOKUP(C179,Products!$A$6:$B$110,2,FALSE),"INVALID SKU"))</x:f>
      </x:c>
      <x:c r="E179" s="20"/>
      <x:c r="F179" s="20"/>
      <x:c r="G179" s="20"/>
    </x:row>
    <x:row r="180" ht="22" customHeight="1">
      <x:c r="A180" s="20"/>
      <x:c r="B180" s="22"/>
      <x:c r="C180" s="20"/>
      <x:c r="D180" t="str">
        <x:f>IF(C180="","",IFERROR(VLOOKUP(C180,Products!$A$6:$B$110,2,FALSE),"INVALID SKU"))</x:f>
      </x:c>
      <x:c r="E180" s="20"/>
      <x:c r="F180" s="20"/>
      <x:c r="G180" s="20"/>
    </x:row>
    <x:row r="181" ht="22" customHeight="1">
      <x:c r="A181" s="20"/>
      <x:c r="B181" s="22"/>
      <x:c r="C181" s="20"/>
      <x:c r="D181" t="str">
        <x:f>IF(C181="","",IFERROR(VLOOKUP(C181,Products!$A$6:$B$110,2,FALSE),"INVALID SKU"))</x:f>
      </x:c>
      <x:c r="E181" s="20"/>
      <x:c r="F181" s="20"/>
      <x:c r="G181" s="20"/>
    </x:row>
    <x:row r="182" ht="22" customHeight="1">
      <x:c r="A182" s="20"/>
      <x:c r="B182" s="22"/>
      <x:c r="C182" s="20"/>
      <x:c r="D182" t="str">
        <x:f>IF(C182="","",IFERROR(VLOOKUP(C182,Products!$A$6:$B$110,2,FALSE),"INVALID SKU"))</x:f>
      </x:c>
      <x:c r="E182" s="20"/>
      <x:c r="F182" s="20"/>
      <x:c r="G182" s="20"/>
    </x:row>
    <x:row r="183" ht="22" customHeight="1">
      <x:c r="A183" s="20"/>
      <x:c r="B183" s="22"/>
      <x:c r="C183" s="20"/>
      <x:c r="D183" t="str">
        <x:f>IF(C183="","",IFERROR(VLOOKUP(C183,Products!$A$6:$B$110,2,FALSE),"INVALID SKU"))</x:f>
      </x:c>
      <x:c r="E183" s="20"/>
      <x:c r="F183" s="20"/>
      <x:c r="G183" s="20"/>
    </x:row>
    <x:row r="184" ht="22" customHeight="1">
      <x:c r="A184" s="20"/>
      <x:c r="B184" s="22"/>
      <x:c r="C184" s="20"/>
      <x:c r="D184" t="str">
        <x:f>IF(C184="","",IFERROR(VLOOKUP(C184,Products!$A$6:$B$110,2,FALSE),"INVALID SKU"))</x:f>
      </x:c>
      <x:c r="E184" s="20"/>
      <x:c r="F184" s="20"/>
      <x:c r="G184" s="20"/>
    </x:row>
    <x:row r="185" ht="22" customHeight="1">
      <x:c r="A185" s="20"/>
      <x:c r="B185" s="22"/>
      <x:c r="C185" s="20"/>
      <x:c r="D185" t="str">
        <x:f>IF(C185="","",IFERROR(VLOOKUP(C185,Products!$A$6:$B$110,2,FALSE),"INVALID SKU"))</x:f>
      </x:c>
      <x:c r="E185" s="20"/>
      <x:c r="F185" s="20"/>
      <x:c r="G185" s="20"/>
    </x:row>
    <x:row r="186" ht="22" customHeight="1">
      <x:c r="A186" s="20"/>
      <x:c r="B186" s="22"/>
      <x:c r="C186" s="20"/>
      <x:c r="D186" t="str">
        <x:f>IF(C186="","",IFERROR(VLOOKUP(C186,Products!$A$6:$B$110,2,FALSE),"INVALID SKU"))</x:f>
      </x:c>
      <x:c r="E186" s="20"/>
      <x:c r="F186" s="20"/>
      <x:c r="G186" s="20"/>
    </x:row>
    <x:row r="187" ht="22" customHeight="1">
      <x:c r="A187" s="20"/>
      <x:c r="B187" s="22"/>
      <x:c r="C187" s="20"/>
      <x:c r="D187" t="str">
        <x:f>IF(C187="","",IFERROR(VLOOKUP(C187,Products!$A$6:$B$110,2,FALSE),"INVALID SKU"))</x:f>
      </x:c>
      <x:c r="E187" s="20"/>
      <x:c r="F187" s="20"/>
      <x:c r="G187" s="20"/>
    </x:row>
    <x:row r="188" ht="22" customHeight="1">
      <x:c r="A188" s="20"/>
      <x:c r="B188" s="22"/>
      <x:c r="C188" s="20"/>
      <x:c r="D188" t="str">
        <x:f>IF(C188="","",IFERROR(VLOOKUP(C188,Products!$A$6:$B$110,2,FALSE),"INVALID SKU"))</x:f>
      </x:c>
      <x:c r="E188" s="20"/>
      <x:c r="F188" s="20"/>
      <x:c r="G188" s="20"/>
    </x:row>
    <x:row r="189" ht="22" customHeight="1">
      <x:c r="A189" s="20"/>
      <x:c r="B189" s="22"/>
      <x:c r="C189" s="20"/>
      <x:c r="D189" t="str">
        <x:f>IF(C189="","",IFERROR(VLOOKUP(C189,Products!$A$6:$B$110,2,FALSE),"INVALID SKU"))</x:f>
      </x:c>
      <x:c r="E189" s="20"/>
      <x:c r="F189" s="20"/>
      <x:c r="G189" s="20"/>
    </x:row>
    <x:row r="190" ht="22" customHeight="1">
      <x:c r="A190" s="20"/>
      <x:c r="B190" s="22"/>
      <x:c r="C190" s="20"/>
      <x:c r="D190" t="str">
        <x:f>IF(C190="","",IFERROR(VLOOKUP(C190,Products!$A$6:$B$110,2,FALSE),"INVALID SKU"))</x:f>
      </x:c>
      <x:c r="E190" s="20"/>
      <x:c r="F190" s="20"/>
      <x:c r="G190" s="20"/>
    </x:row>
    <x:row r="191" ht="22" customHeight="1">
      <x:c r="A191" s="20"/>
      <x:c r="B191" s="22"/>
      <x:c r="C191" s="20"/>
      <x:c r="D191" t="str">
        <x:f>IF(C191="","",IFERROR(VLOOKUP(C191,Products!$A$6:$B$110,2,FALSE),"INVALID SKU"))</x:f>
      </x:c>
      <x:c r="E191" s="20"/>
      <x:c r="F191" s="20"/>
      <x:c r="G191" s="20"/>
    </x:row>
    <x:row r="192" ht="22" customHeight="1">
      <x:c r="A192" s="20"/>
      <x:c r="B192" s="22"/>
      <x:c r="C192" s="20"/>
      <x:c r="D192" t="str">
        <x:f>IF(C192="","",IFERROR(VLOOKUP(C192,Products!$A$6:$B$110,2,FALSE),"INVALID SKU"))</x:f>
      </x:c>
      <x:c r="E192" s="20"/>
      <x:c r="F192" s="20"/>
      <x:c r="G192" s="20"/>
    </x:row>
    <x:row r="193" ht="22" customHeight="1">
      <x:c r="A193" s="20"/>
      <x:c r="B193" s="22"/>
      <x:c r="C193" s="20"/>
      <x:c r="D193" t="str">
        <x:f>IF(C193="","",IFERROR(VLOOKUP(C193,Products!$A$6:$B$110,2,FALSE),"INVALID SKU"))</x:f>
      </x:c>
      <x:c r="E193" s="20"/>
      <x:c r="F193" s="20"/>
      <x:c r="G193" s="20"/>
    </x:row>
    <x:row r="194" ht="22" customHeight="1">
      <x:c r="A194" s="20"/>
      <x:c r="B194" s="22"/>
      <x:c r="C194" s="20"/>
      <x:c r="D194" t="str">
        <x:f>IF(C194="","",IFERROR(VLOOKUP(C194,Products!$A$6:$B$110,2,FALSE),"INVALID SKU"))</x:f>
      </x:c>
      <x:c r="E194" s="20"/>
      <x:c r="F194" s="20"/>
      <x:c r="G194" s="20"/>
    </x:row>
    <x:row r="195" ht="22" customHeight="1">
      <x:c r="A195" s="20"/>
      <x:c r="B195" s="22"/>
      <x:c r="C195" s="20"/>
      <x:c r="D195" t="str">
        <x:f>IF(C195="","",IFERROR(VLOOKUP(C195,Products!$A$6:$B$110,2,FALSE),"INVALID SKU"))</x:f>
      </x:c>
      <x:c r="E195" s="20"/>
      <x:c r="F195" s="20"/>
      <x:c r="G195" s="20"/>
    </x:row>
    <x:row r="196" ht="22" customHeight="1">
      <x:c r="A196" s="20"/>
      <x:c r="B196" s="22"/>
      <x:c r="C196" s="20"/>
      <x:c r="D196" t="str">
        <x:f>IF(C196="","",IFERROR(VLOOKUP(C196,Products!$A$6:$B$110,2,FALSE),"INVALID SKU"))</x:f>
      </x:c>
      <x:c r="E196" s="20"/>
      <x:c r="F196" s="20"/>
      <x:c r="G196" s="20"/>
    </x:row>
    <x:row r="197" ht="22" customHeight="1">
      <x:c r="A197" s="20"/>
      <x:c r="B197" s="22"/>
      <x:c r="C197" s="20"/>
      <x:c r="D197" t="str">
        <x:f>IF(C197="","",IFERROR(VLOOKUP(C197,Products!$A$6:$B$110,2,FALSE),"INVALID SKU"))</x:f>
      </x:c>
      <x:c r="E197" s="20"/>
      <x:c r="F197" s="20"/>
      <x:c r="G197" s="20"/>
    </x:row>
    <x:row r="198" ht="22" customHeight="1">
      <x:c r="A198" s="20"/>
      <x:c r="B198" s="22"/>
      <x:c r="C198" s="20"/>
      <x:c r="D198" t="str">
        <x:f>IF(C198="","",IFERROR(VLOOKUP(C198,Products!$A$6:$B$110,2,FALSE),"INVALID SKU"))</x:f>
      </x:c>
      <x:c r="E198" s="20"/>
      <x:c r="F198" s="20"/>
      <x:c r="G198" s="20"/>
    </x:row>
    <x:row r="199" ht="22" customHeight="1">
      <x:c r="A199" s="20"/>
      <x:c r="B199" s="22"/>
      <x:c r="C199" s="20"/>
      <x:c r="D199" t="str">
        <x:f>IF(C199="","",IFERROR(VLOOKUP(C199,Products!$A$6:$B$110,2,FALSE),"INVALID SKU"))</x:f>
      </x:c>
      <x:c r="E199" s="20"/>
      <x:c r="F199" s="20"/>
      <x:c r="G199" s="20"/>
    </x:row>
    <x:row r="200" ht="22" customHeight="1">
      <x:c r="A200" s="20"/>
      <x:c r="B200" s="22"/>
      <x:c r="C200" s="20"/>
      <x:c r="D200" t="str">
        <x:f>IF(C200="","",IFERROR(VLOOKUP(C200,Products!$A$6:$B$110,2,FALSE),"INVALID SKU"))</x:f>
      </x:c>
      <x:c r="E200" s="20"/>
      <x:c r="F200" s="20"/>
      <x:c r="G200" s="20"/>
    </x:row>
    <x:row r="201" ht="22" customHeight="1">
      <x:c r="A201" s="20"/>
      <x:c r="B201" s="22"/>
      <x:c r="C201" s="20"/>
      <x:c r="D201" t="str">
        <x:f>IF(C201="","",IFERROR(VLOOKUP(C201,Products!$A$6:$B$110,2,FALSE),"INVALID SKU"))</x:f>
      </x:c>
      <x:c r="E201" s="20"/>
      <x:c r="F201" s="20"/>
      <x:c r="G201" s="20"/>
    </x:row>
    <x:row r="202" ht="22" customHeight="1">
      <x:c r="A202" s="20"/>
      <x:c r="B202" s="22"/>
      <x:c r="C202" s="20"/>
      <x:c r="D202" t="str">
        <x:f>IF(C202="","",IFERROR(VLOOKUP(C202,Products!$A$6:$B$110,2,FALSE),"INVALID SKU"))</x:f>
      </x:c>
      <x:c r="E202" s="20"/>
      <x:c r="F202" s="20"/>
      <x:c r="G202" s="20"/>
    </x:row>
    <x:row r="203" ht="22" customHeight="1">
      <x:c r="A203" s="20"/>
      <x:c r="B203" s="22"/>
      <x:c r="C203" s="20"/>
      <x:c r="D203" t="str">
        <x:f>IF(C203="","",IFERROR(VLOOKUP(C203,Products!$A$6:$B$110,2,FALSE),"INVALID SKU"))</x:f>
      </x:c>
      <x:c r="E203" s="20"/>
      <x:c r="F203" s="20"/>
      <x:c r="G203" s="20"/>
    </x:row>
    <x:row r="204" ht="22" customHeight="1">
      <x:c r="A204" s="20"/>
      <x:c r="B204" s="22"/>
      <x:c r="C204" s="20"/>
      <x:c r="D204" t="str">
        <x:f>IF(C204="","",IFERROR(VLOOKUP(C204,Products!$A$6:$B$110,2,FALSE),"INVALID SKU"))</x:f>
      </x:c>
      <x:c r="E204" s="20"/>
      <x:c r="F204" s="20"/>
      <x:c r="G204" s="20"/>
    </x:row>
    <x:row r="205" ht="22" customHeight="1">
      <x:c r="A205" s="20"/>
      <x:c r="B205" s="22"/>
      <x:c r="C205" s="20"/>
      <x:c r="D205" t="str">
        <x:f>IF(C205="","",IFERROR(VLOOKUP(C205,Products!$A$6:$B$110,2,FALSE),"INVALID SKU"))</x:f>
      </x:c>
      <x:c r="E205" s="20"/>
      <x:c r="F205" s="20"/>
      <x:c r="G205" s="20"/>
    </x:row>
    <x:row r="206" ht="22" customHeight="1">
      <x:c r="A206" s="20"/>
      <x:c r="B206" s="22"/>
      <x:c r="C206" s="20"/>
      <x:c r="D206" t="str">
        <x:f>IF(C206="","",IFERROR(VLOOKUP(C206,Products!$A$6:$B$110,2,FALSE),"INVALID SKU"))</x:f>
      </x:c>
      <x:c r="E206" s="20"/>
      <x:c r="F206" s="20"/>
      <x:c r="G206" s="20"/>
    </x:row>
    <x:row r="207" ht="22" customHeight="1">
      <x:c r="A207" s="20"/>
      <x:c r="B207" s="22"/>
      <x:c r="C207" s="20"/>
      <x:c r="D207" t="str">
        <x:f>IF(C207="","",IFERROR(VLOOKUP(C207,Products!$A$6:$B$110,2,FALSE),"INVALID SKU"))</x:f>
      </x:c>
      <x:c r="E207" s="20"/>
      <x:c r="F207" s="20"/>
      <x:c r="G207" s="20"/>
    </x:row>
    <x:row r="208" ht="22" customHeight="1">
      <x:c r="A208" s="20"/>
      <x:c r="B208" s="22"/>
      <x:c r="C208" s="20"/>
      <x:c r="D208" t="str">
        <x:f>IF(C208="","",IFERROR(VLOOKUP(C208,Products!$A$6:$B$110,2,FALSE),"INVALID SKU"))</x:f>
      </x:c>
      <x:c r="E208" s="20"/>
      <x:c r="F208" s="20"/>
      <x:c r="G208" s="20"/>
    </x:row>
    <x:row r="209" ht="22" customHeight="1">
      <x:c r="A209" s="20"/>
      <x:c r="B209" s="22"/>
      <x:c r="C209" s="20"/>
      <x:c r="D209" t="str">
        <x:f>IF(C209="","",IFERROR(VLOOKUP(C209,Products!$A$6:$B$110,2,FALSE),"INVALID SKU"))</x:f>
      </x:c>
      <x:c r="E209" s="20"/>
      <x:c r="F209" s="20"/>
      <x:c r="G209" s="20"/>
    </x:row>
    <x:row r="210" ht="22" customHeight="1">
      <x:c r="A210" s="20"/>
      <x:c r="B210" s="22"/>
      <x:c r="C210" s="20"/>
      <x:c r="D210" t="str">
        <x:f>IF(C210="","",IFERROR(VLOOKUP(C210,Products!$A$6:$B$110,2,FALSE),"INVALID SKU"))</x:f>
      </x:c>
      <x:c r="E210" s="20"/>
      <x:c r="F210" s="20"/>
      <x:c r="G210" s="20"/>
    </x:row>
    <x:row r="211" ht="22" customHeight="1">
      <x:c r="A211" s="20"/>
      <x:c r="B211" s="22"/>
      <x:c r="C211" s="20"/>
      <x:c r="D211" t="str">
        <x:f>IF(C211="","",IFERROR(VLOOKUP(C211,Products!$A$6:$B$110,2,FALSE),"INVALID SKU"))</x:f>
      </x:c>
      <x:c r="E211" s="20"/>
      <x:c r="F211" s="20"/>
      <x:c r="G211" s="20"/>
    </x:row>
    <x:row r="212" ht="22" customHeight="1">
      <x:c r="A212" s="20"/>
      <x:c r="B212" s="22"/>
      <x:c r="C212" s="20"/>
      <x:c r="D212" t="str">
        <x:f>IF(C212="","",IFERROR(VLOOKUP(C212,Products!$A$6:$B$110,2,FALSE),"INVALID SKU"))</x:f>
      </x:c>
      <x:c r="E212" s="20"/>
      <x:c r="F212" s="20"/>
      <x:c r="G212" s="20"/>
    </x:row>
    <x:row r="213" ht="22" customHeight="1">
      <x:c r="A213" s="20"/>
      <x:c r="B213" s="22"/>
      <x:c r="C213" s="20"/>
      <x:c r="D213" t="str">
        <x:f>IF(C213="","",IFERROR(VLOOKUP(C213,Products!$A$6:$B$110,2,FALSE),"INVALID SKU"))</x:f>
      </x:c>
      <x:c r="E213" s="20"/>
      <x:c r="F213" s="20"/>
      <x:c r="G213" s="20"/>
    </x:row>
    <x:row r="214" ht="22" customHeight="1">
      <x:c r="A214" s="20"/>
      <x:c r="B214" s="22"/>
      <x:c r="C214" s="20"/>
      <x:c r="D214" t="str">
        <x:f>IF(C214="","",IFERROR(VLOOKUP(C214,Products!$A$6:$B$110,2,FALSE),"INVALID SKU"))</x:f>
      </x:c>
      <x:c r="E214" s="20"/>
      <x:c r="F214" s="20"/>
      <x:c r="G214" s="20"/>
    </x:row>
    <x:row r="215" ht="22" customHeight="1">
      <x:c r="A215" s="20"/>
      <x:c r="B215" s="22"/>
      <x:c r="C215" s="20"/>
      <x:c r="D215" t="str">
        <x:f>IF(C215="","",IFERROR(VLOOKUP(C215,Products!$A$6:$B$110,2,FALSE),"INVALID SKU"))</x:f>
      </x:c>
      <x:c r="E215" s="20"/>
      <x:c r="F215" s="20"/>
      <x:c r="G215" s="20"/>
    </x:row>
    <x:row r="216" ht="22" customHeight="1">
      <x:c r="A216" s="20"/>
      <x:c r="B216" s="22"/>
      <x:c r="C216" s="20"/>
      <x:c r="D216" t="str">
        <x:f>IF(C216="","",IFERROR(VLOOKUP(C216,Products!$A$6:$B$110,2,FALSE),"INVALID SKU"))</x:f>
      </x:c>
      <x:c r="E216" s="20"/>
      <x:c r="F216" s="20"/>
      <x:c r="G216" s="20"/>
    </x:row>
    <x:row r="217" ht="22" customHeight="1">
      <x:c r="A217" s="20"/>
      <x:c r="B217" s="22"/>
      <x:c r="C217" s="20"/>
      <x:c r="D217" t="str">
        <x:f>IF(C217="","",IFERROR(VLOOKUP(C217,Products!$A$6:$B$110,2,FALSE),"INVALID SKU"))</x:f>
      </x:c>
      <x:c r="E217" s="20"/>
      <x:c r="F217" s="20"/>
      <x:c r="G217" s="20"/>
    </x:row>
    <x:row r="218" ht="22" customHeight="1">
      <x:c r="A218" s="20"/>
      <x:c r="B218" s="22"/>
      <x:c r="C218" s="20"/>
      <x:c r="D218" t="str">
        <x:f>IF(C218="","",IFERROR(VLOOKUP(C218,Products!$A$6:$B$110,2,FALSE),"INVALID SKU"))</x:f>
      </x:c>
      <x:c r="E218" s="20"/>
      <x:c r="F218" s="20"/>
      <x:c r="G218" s="20"/>
    </x:row>
    <x:row r="219" ht="22" customHeight="1">
      <x:c r="A219" s="20"/>
      <x:c r="B219" s="22"/>
      <x:c r="C219" s="20"/>
      <x:c r="D219" t="str">
        <x:f>IF(C219="","",IFERROR(VLOOKUP(C219,Products!$A$6:$B$110,2,FALSE),"INVALID SKU"))</x:f>
      </x:c>
      <x:c r="E219" s="20"/>
      <x:c r="F219" s="20"/>
      <x:c r="G219" s="20"/>
    </x:row>
    <x:row r="220" ht="22" customHeight="1">
      <x:c r="A220" s="20"/>
      <x:c r="B220" s="22"/>
      <x:c r="C220" s="20"/>
      <x:c r="D220" t="str">
        <x:f>IF(C220="","",IFERROR(VLOOKUP(C220,Products!$A$6:$B$110,2,FALSE),"INVALID SKU"))</x:f>
      </x:c>
      <x:c r="E220" s="20"/>
      <x:c r="F220" s="20"/>
      <x:c r="G220" s="20"/>
    </x:row>
    <x:row r="221" ht="22" customHeight="1">
      <x:c r="A221" s="20"/>
      <x:c r="B221" s="22"/>
      <x:c r="C221" s="20"/>
      <x:c r="D221" t="str">
        <x:f>IF(C221="","",IFERROR(VLOOKUP(C221,Products!$A$6:$B$110,2,FALSE),"INVALID SKU"))</x:f>
      </x:c>
      <x:c r="E221" s="20"/>
      <x:c r="F221" s="20"/>
      <x:c r="G221" s="20"/>
    </x:row>
    <x:row r="222" ht="22" customHeight="1">
      <x:c r="A222" s="20"/>
      <x:c r="B222" s="22"/>
      <x:c r="C222" s="20"/>
      <x:c r="D222" t="str">
        <x:f>IF(C222="","",IFERROR(VLOOKUP(C222,Products!$A$6:$B$110,2,FALSE),"INVALID SKU"))</x:f>
      </x:c>
      <x:c r="E222" s="20"/>
      <x:c r="F222" s="20"/>
      <x:c r="G222" s="20"/>
    </x:row>
    <x:row r="223" ht="22" customHeight="1">
      <x:c r="A223" s="20"/>
      <x:c r="B223" s="22"/>
      <x:c r="C223" s="20"/>
      <x:c r="D223" t="str">
        <x:f>IF(C223="","",IFERROR(VLOOKUP(C223,Products!$A$6:$B$110,2,FALSE),"INVALID SKU"))</x:f>
      </x:c>
      <x:c r="E223" s="20"/>
      <x:c r="F223" s="20"/>
      <x:c r="G223" s="20"/>
    </x:row>
    <x:row r="224" ht="22" customHeight="1">
      <x:c r="A224" s="20"/>
      <x:c r="B224" s="22"/>
      <x:c r="C224" s="20"/>
      <x:c r="D224" t="str">
        <x:f>IF(C224="","",IFERROR(VLOOKUP(C224,Products!$A$6:$B$110,2,FALSE),"INVALID SKU"))</x:f>
      </x:c>
      <x:c r="E224" s="20"/>
      <x:c r="F224" s="20"/>
      <x:c r="G224" s="20"/>
    </x:row>
    <x:row r="225" ht="22" customHeight="1">
      <x:c r="A225" s="20"/>
      <x:c r="B225" s="22"/>
      <x:c r="C225" s="20"/>
      <x:c r="D225" t="str">
        <x:f>IF(C225="","",IFERROR(VLOOKUP(C225,Products!$A$6:$B$110,2,FALSE),"INVALID SKU"))</x:f>
      </x:c>
      <x:c r="E225" s="20"/>
      <x:c r="F225" s="20"/>
      <x:c r="G225" s="20"/>
    </x:row>
    <x:row r="226" ht="22" customHeight="1">
      <x:c r="A226" s="20"/>
      <x:c r="B226" s="22"/>
      <x:c r="C226" s="20"/>
      <x:c r="D226" t="str">
        <x:f>IF(C226="","",IFERROR(VLOOKUP(C226,Products!$A$6:$B$110,2,FALSE),"INVALID SKU"))</x:f>
      </x:c>
      <x:c r="E226" s="20"/>
      <x:c r="F226" s="20"/>
      <x:c r="G226" s="20"/>
    </x:row>
    <x:row r="227" ht="22" customHeight="1">
      <x:c r="A227" s="20"/>
      <x:c r="B227" s="22"/>
      <x:c r="C227" s="20"/>
      <x:c r="D227" t="str">
        <x:f>IF(C227="","",IFERROR(VLOOKUP(C227,Products!$A$6:$B$110,2,FALSE),"INVALID SKU"))</x:f>
      </x:c>
      <x:c r="E227" s="20"/>
      <x:c r="F227" s="20"/>
      <x:c r="G227" s="20"/>
    </x:row>
    <x:row r="228" ht="22" customHeight="1">
      <x:c r="A228" s="20"/>
      <x:c r="B228" s="22"/>
      <x:c r="C228" s="20"/>
      <x:c r="D228" t="str">
        <x:f>IF(C228="","",IFERROR(VLOOKUP(C228,Products!$A$6:$B$110,2,FALSE),"INVALID SKU"))</x:f>
      </x:c>
      <x:c r="E228" s="20"/>
      <x:c r="F228" s="20"/>
      <x:c r="G228" s="20"/>
    </x:row>
    <x:row r="229" ht="22" customHeight="1">
      <x:c r="A229" s="20"/>
      <x:c r="B229" s="22"/>
      <x:c r="C229" s="20"/>
      <x:c r="D229" t="str">
        <x:f>IF(C229="","",IFERROR(VLOOKUP(C229,Products!$A$6:$B$110,2,FALSE),"INVALID SKU"))</x:f>
      </x:c>
      <x:c r="E229" s="20"/>
      <x:c r="F229" s="20"/>
      <x:c r="G229" s="20"/>
    </x:row>
    <x:row r="230" ht="22" customHeight="1">
      <x:c r="A230" s="20"/>
      <x:c r="B230" s="22"/>
      <x:c r="C230" s="20"/>
      <x:c r="D230" t="str">
        <x:f>IF(C230="","",IFERROR(VLOOKUP(C230,Products!$A$6:$B$110,2,FALSE),"INVALID SKU"))</x:f>
      </x:c>
      <x:c r="E230" s="20"/>
      <x:c r="F230" s="20"/>
      <x:c r="G230" s="20"/>
    </x:row>
    <x:row r="231" ht="22" customHeight="1">
      <x:c r="A231" s="20"/>
      <x:c r="B231" s="22"/>
      <x:c r="C231" s="20"/>
      <x:c r="D231" t="str">
        <x:f>IF(C231="","",IFERROR(VLOOKUP(C231,Products!$A$6:$B$110,2,FALSE),"INVALID SKU"))</x:f>
      </x:c>
      <x:c r="E231" s="20"/>
      <x:c r="F231" s="20"/>
      <x:c r="G231" s="20"/>
    </x:row>
    <x:row r="232" ht="22" customHeight="1">
      <x:c r="A232" s="20"/>
      <x:c r="B232" s="22"/>
      <x:c r="C232" s="20"/>
      <x:c r="D232" t="str">
        <x:f>IF(C232="","",IFERROR(VLOOKUP(C232,Products!$A$6:$B$110,2,FALSE),"INVALID SKU"))</x:f>
      </x:c>
      <x:c r="E232" s="20"/>
      <x:c r="F232" s="20"/>
      <x:c r="G232" s="20"/>
    </x:row>
    <x:row r="233" ht="22" customHeight="1">
      <x:c r="A233" s="20"/>
      <x:c r="B233" s="22"/>
      <x:c r="C233" s="20"/>
      <x:c r="D233" t="str">
        <x:f>IF(C233="","",IFERROR(VLOOKUP(C233,Products!$A$6:$B$110,2,FALSE),"INVALID SKU"))</x:f>
      </x:c>
      <x:c r="E233" s="20"/>
      <x:c r="F233" s="20"/>
      <x:c r="G233" s="20"/>
    </x:row>
    <x:row r="234" ht="22" customHeight="1">
      <x:c r="A234" s="20"/>
      <x:c r="B234" s="22"/>
      <x:c r="C234" s="20"/>
      <x:c r="D234" t="str">
        <x:f>IF(C234="","",IFERROR(VLOOKUP(C234,Products!$A$6:$B$110,2,FALSE),"INVALID SKU"))</x:f>
      </x:c>
      <x:c r="E234" s="20"/>
      <x:c r="F234" s="20"/>
      <x:c r="G234" s="20"/>
    </x:row>
    <x:row r="235" ht="22" customHeight="1">
      <x:c r="A235" s="20"/>
      <x:c r="B235" s="22"/>
      <x:c r="C235" s="20"/>
      <x:c r="D235" t="str">
        <x:f>IF(C235="","",IFERROR(VLOOKUP(C235,Products!$A$6:$B$110,2,FALSE),"INVALID SKU"))</x:f>
      </x:c>
      <x:c r="E235" s="20"/>
      <x:c r="F235" s="20"/>
      <x:c r="G235" s="20"/>
    </x:row>
    <x:row r="236" ht="22" customHeight="1">
      <x:c r="A236" s="20"/>
      <x:c r="B236" s="22"/>
      <x:c r="C236" s="20"/>
      <x:c r="D236" t="str">
        <x:f>IF(C236="","",IFERROR(VLOOKUP(C236,Products!$A$6:$B$110,2,FALSE),"INVALID SKU"))</x:f>
      </x:c>
      <x:c r="E236" s="20"/>
      <x:c r="F236" s="20"/>
      <x:c r="G236" s="20"/>
    </x:row>
    <x:row r="237" ht="22" customHeight="1">
      <x:c r="A237" s="20"/>
      <x:c r="B237" s="22"/>
      <x:c r="C237" s="20"/>
      <x:c r="D237" t="str">
        <x:f>IF(C237="","",IFERROR(VLOOKUP(C237,Products!$A$6:$B$110,2,FALSE),"INVALID SKU"))</x:f>
      </x:c>
      <x:c r="E237" s="20"/>
      <x:c r="F237" s="20"/>
      <x:c r="G237" s="20"/>
    </x:row>
    <x:row r="238" ht="22" customHeight="1">
      <x:c r="A238" s="20"/>
      <x:c r="B238" s="22"/>
      <x:c r="C238" s="20"/>
      <x:c r="D238" t="str">
        <x:f>IF(C238="","",IFERROR(VLOOKUP(C238,Products!$A$6:$B$110,2,FALSE),"INVALID SKU"))</x:f>
      </x:c>
      <x:c r="E238" s="20"/>
      <x:c r="F238" s="20"/>
      <x:c r="G238" s="20"/>
    </x:row>
    <x:row r="239" ht="22" customHeight="1">
      <x:c r="A239" s="20"/>
      <x:c r="B239" s="22"/>
      <x:c r="C239" s="20"/>
      <x:c r="D239" t="str">
        <x:f>IF(C239="","",IFERROR(VLOOKUP(C239,Products!$A$6:$B$110,2,FALSE),"INVALID SKU"))</x:f>
      </x:c>
      <x:c r="E239" s="20"/>
      <x:c r="F239" s="20"/>
      <x:c r="G239" s="20"/>
    </x:row>
    <x:row r="240" ht="22" customHeight="1">
      <x:c r="A240" s="20"/>
      <x:c r="B240" s="22"/>
      <x:c r="C240" s="20"/>
      <x:c r="D240" t="str">
        <x:f>IF(C240="","",IFERROR(VLOOKUP(C240,Products!$A$6:$B$110,2,FALSE),"INVALID SKU"))</x:f>
      </x:c>
      <x:c r="E240" s="20"/>
      <x:c r="F240" s="20"/>
      <x:c r="G240" s="20"/>
    </x:row>
    <x:row r="241" ht="22" customHeight="1">
      <x:c r="A241" s="20"/>
      <x:c r="B241" s="22"/>
      <x:c r="C241" s="20"/>
      <x:c r="D241" t="str">
        <x:f>IF(C241="","",IFERROR(VLOOKUP(C241,Products!$A$6:$B$110,2,FALSE),"INVALID SKU"))</x:f>
      </x:c>
      <x:c r="E241" s="20"/>
      <x:c r="F241" s="20"/>
      <x:c r="G241" s="20"/>
    </x:row>
    <x:row r="242" ht="22" customHeight="1">
      <x:c r="A242" s="20"/>
      <x:c r="B242" s="22"/>
      <x:c r="C242" s="20"/>
      <x:c r="D242" t="str">
        <x:f>IF(C242="","",IFERROR(VLOOKUP(C242,Products!$A$6:$B$110,2,FALSE),"INVALID SKU"))</x:f>
      </x:c>
      <x:c r="E242" s="20"/>
      <x:c r="F242" s="20"/>
      <x:c r="G242" s="20"/>
    </x:row>
    <x:row r="243" ht="22" customHeight="1">
      <x:c r="A243" s="20"/>
      <x:c r="B243" s="22"/>
      <x:c r="C243" s="20"/>
      <x:c r="D243" t="str">
        <x:f>IF(C243="","",IFERROR(VLOOKUP(C243,Products!$A$6:$B$110,2,FALSE),"INVALID SKU"))</x:f>
      </x:c>
      <x:c r="E243" s="20"/>
      <x:c r="F243" s="20"/>
      <x:c r="G243" s="20"/>
    </x:row>
    <x:row r="244" ht="22" customHeight="1">
      <x:c r="A244" s="20"/>
      <x:c r="B244" s="22"/>
      <x:c r="C244" s="20"/>
      <x:c r="D244" t="str">
        <x:f>IF(C244="","",IFERROR(VLOOKUP(C244,Products!$A$6:$B$110,2,FALSE),"INVALID SKU"))</x:f>
      </x:c>
      <x:c r="E244" s="20"/>
      <x:c r="F244" s="20"/>
      <x:c r="G244" s="20"/>
    </x:row>
    <x:row r="245" ht="22" customHeight="1">
      <x:c r="A245" s="20"/>
      <x:c r="B245" s="22"/>
      <x:c r="C245" s="20"/>
      <x:c r="D245" t="str">
        <x:f>IF(C245="","",IFERROR(VLOOKUP(C245,Products!$A$6:$B$110,2,FALSE),"INVALID SKU"))</x:f>
      </x:c>
      <x:c r="E245" s="20"/>
      <x:c r="F245" s="20"/>
      <x:c r="G245" s="20"/>
    </x:row>
    <x:row r="246" ht="22" customHeight="1">
      <x:c r="A246" s="20"/>
      <x:c r="B246" s="22"/>
      <x:c r="C246" s="20"/>
      <x:c r="D246" t="str">
        <x:f>IF(C246="","",IFERROR(VLOOKUP(C246,Products!$A$6:$B$110,2,FALSE),"INVALID SKU"))</x:f>
      </x:c>
      <x:c r="E246" s="20"/>
      <x:c r="F246" s="20"/>
      <x:c r="G246" s="20"/>
    </x:row>
    <x:row r="247" ht="22" customHeight="1">
      <x:c r="A247" s="20"/>
      <x:c r="B247" s="22"/>
      <x:c r="C247" s="20"/>
      <x:c r="D247" t="str">
        <x:f>IF(C247="","",IFERROR(VLOOKUP(C247,Products!$A$6:$B$110,2,FALSE),"INVALID SKU"))</x:f>
      </x:c>
      <x:c r="E247" s="20"/>
      <x:c r="F247" s="20"/>
      <x:c r="G247" s="20"/>
    </x:row>
    <x:row r="248" ht="22" customHeight="1">
      <x:c r="A248" s="20"/>
      <x:c r="B248" s="22"/>
      <x:c r="C248" s="20"/>
      <x:c r="D248" t="str">
        <x:f>IF(C248="","",IFERROR(VLOOKUP(C248,Products!$A$6:$B$110,2,FALSE),"INVALID SKU"))</x:f>
      </x:c>
      <x:c r="E248" s="20"/>
      <x:c r="F248" s="20"/>
      <x:c r="G248" s="20"/>
    </x:row>
    <x:row r="249" ht="22" customHeight="1">
      <x:c r="A249" s="20"/>
      <x:c r="B249" s="22"/>
      <x:c r="C249" s="20"/>
      <x:c r="D249" t="str">
        <x:f>IF(C249="","",IFERROR(VLOOKUP(C249,Products!$A$6:$B$110,2,FALSE),"INVALID SKU"))</x:f>
      </x:c>
      <x:c r="E249" s="20"/>
      <x:c r="F249" s="20"/>
      <x:c r="G249" s="20"/>
    </x:row>
    <x:row r="250" ht="22" customHeight="1">
      <x:c r="A250" s="20"/>
      <x:c r="B250" s="22"/>
      <x:c r="C250" s="20"/>
      <x:c r="D250" t="str">
        <x:f>IF(C250="","",IFERROR(VLOOKUP(C250,Products!$A$6:$B$110,2,FALSE),"INVALID SKU"))</x:f>
      </x:c>
      <x:c r="E250" s="20"/>
      <x:c r="F250" s="20"/>
      <x:c r="G250" s="20"/>
    </x:row>
    <x:row r="251" ht="22" customHeight="1">
      <x:c r="A251" s="20"/>
      <x:c r="B251" s="22"/>
      <x:c r="C251" s="20"/>
      <x:c r="D251" t="str">
        <x:f>IF(C251="","",IFERROR(VLOOKUP(C251,Products!$A$6:$B$110,2,FALSE),"INVALID SKU"))</x:f>
      </x:c>
      <x:c r="E251" s="20"/>
      <x:c r="F251" s="20"/>
      <x:c r="G251" s="20"/>
    </x:row>
    <x:row r="252" ht="22" customHeight="1">
      <x:c r="A252" s="20"/>
      <x:c r="B252" s="22"/>
      <x:c r="C252" s="20"/>
      <x:c r="D252" t="str">
        <x:f>IF(C252="","",IFERROR(VLOOKUP(C252,Products!$A$6:$B$110,2,FALSE),"INVALID SKU"))</x:f>
      </x:c>
      <x:c r="E252" s="20"/>
      <x:c r="F252" s="20"/>
      <x:c r="G252" s="20"/>
    </x:row>
    <x:row r="253" ht="22" customHeight="1">
      <x:c r="A253" s="20"/>
      <x:c r="B253" s="22"/>
      <x:c r="C253" s="20"/>
      <x:c r="D253" t="str">
        <x:f>IF(C253="","",IFERROR(VLOOKUP(C253,Products!$A$6:$B$110,2,FALSE),"INVALID SKU"))</x:f>
      </x:c>
      <x:c r="E253" s="20"/>
      <x:c r="F253" s="20"/>
      <x:c r="G253" s="20"/>
    </x:row>
    <x:row r="254" ht="22" customHeight="1">
      <x:c r="A254" s="20"/>
      <x:c r="B254" s="22"/>
      <x:c r="C254" s="20"/>
      <x:c r="D254" t="str">
        <x:f>IF(C254="","",IFERROR(VLOOKUP(C254,Products!$A$6:$B$110,2,FALSE),"INVALID SKU"))</x:f>
      </x:c>
      <x:c r="E254" s="20"/>
      <x:c r="F254" s="20"/>
      <x:c r="G254" s="20"/>
    </x:row>
    <x:row r="255" ht="22" customHeight="1">
      <x:c r="A255" s="20"/>
      <x:c r="B255" s="22"/>
      <x:c r="C255" s="20"/>
      <x:c r="D255" t="str">
        <x:f>IF(C255="","",IFERROR(VLOOKUP(C255,Products!$A$6:$B$110,2,FALSE),"INVALID SKU"))</x:f>
      </x:c>
      <x:c r="E255" s="20"/>
      <x:c r="F255" s="20"/>
      <x:c r="G255" s="20"/>
    </x:row>
    <x:row r="256" ht="22" customHeight="1">
      <x:c r="A256" s="20"/>
      <x:c r="B256" s="22"/>
      <x:c r="C256" s="20"/>
      <x:c r="D256" t="str">
        <x:f>IF(C256="","",IFERROR(VLOOKUP(C256,Products!$A$6:$B$110,2,FALSE),"INVALID SKU"))</x:f>
      </x:c>
      <x:c r="E256" s="20"/>
      <x:c r="F256" s="20"/>
      <x:c r="G256" s="20"/>
    </x:row>
    <x:row r="257" ht="22" customHeight="1">
      <x:c r="A257" s="20"/>
      <x:c r="B257" s="22"/>
      <x:c r="C257" s="20"/>
      <x:c r="D257" t="str">
        <x:f>IF(C257="","",IFERROR(VLOOKUP(C257,Products!$A$6:$B$110,2,FALSE),"INVALID SKU"))</x:f>
      </x:c>
      <x:c r="E257" s="20"/>
      <x:c r="F257" s="20"/>
      <x:c r="G257" s="20"/>
    </x:row>
    <x:row r="258" ht="22" customHeight="1">
      <x:c r="A258" s="20"/>
      <x:c r="B258" s="22"/>
      <x:c r="C258" s="20"/>
      <x:c r="D258" t="str">
        <x:f>IF(C258="","",IFERROR(VLOOKUP(C258,Products!$A$6:$B$110,2,FALSE),"INVALID SKU"))</x:f>
      </x:c>
      <x:c r="E258" s="20"/>
      <x:c r="F258" s="20"/>
      <x:c r="G258" s="20"/>
    </x:row>
    <x:row r="259" ht="22" customHeight="1">
      <x:c r="A259" s="20"/>
      <x:c r="B259" s="22"/>
      <x:c r="C259" s="20"/>
      <x:c r="D259" t="str">
        <x:f>IF(C259="","",IFERROR(VLOOKUP(C259,Products!$A$6:$B$110,2,FALSE),"INVALID SKU"))</x:f>
      </x:c>
      <x:c r="E259" s="20"/>
      <x:c r="F259" s="20"/>
      <x:c r="G259" s="20"/>
    </x:row>
    <x:row r="260" ht="22" customHeight="1">
      <x:c r="A260" s="20"/>
      <x:c r="B260" s="22"/>
      <x:c r="C260" s="20"/>
      <x:c r="D260" t="str">
        <x:f>IF(C260="","",IFERROR(VLOOKUP(C260,Products!$A$6:$B$110,2,FALSE),"INVALID SKU"))</x:f>
      </x:c>
      <x:c r="E260" s="20"/>
      <x:c r="F260" s="20"/>
      <x:c r="G260" s="20"/>
    </x:row>
    <x:row r="261" ht="22" customHeight="1">
      <x:c r="A261" s="20"/>
      <x:c r="B261" s="22"/>
      <x:c r="C261" s="20"/>
      <x:c r="D261" t="str">
        <x:f>IF(C261="","",IFERROR(VLOOKUP(C261,Products!$A$6:$B$110,2,FALSE),"INVALID SKU"))</x:f>
      </x:c>
      <x:c r="E261" s="20"/>
      <x:c r="F261" s="20"/>
      <x:c r="G261" s="20"/>
    </x:row>
    <x:row r="262" ht="22" customHeight="1">
      <x:c r="A262" s="20"/>
      <x:c r="B262" s="22"/>
      <x:c r="C262" s="20"/>
      <x:c r="D262" t="str">
        <x:f>IF(C262="","",IFERROR(VLOOKUP(C262,Products!$A$6:$B$110,2,FALSE),"INVALID SKU"))</x:f>
      </x:c>
      <x:c r="E262" s="20"/>
      <x:c r="F262" s="20"/>
      <x:c r="G262" s="20"/>
    </x:row>
    <x:row r="263" ht="22" customHeight="1">
      <x:c r="A263" s="20"/>
      <x:c r="B263" s="22"/>
      <x:c r="C263" s="20"/>
      <x:c r="D263" t="str">
        <x:f>IF(C263="","",IFERROR(VLOOKUP(C263,Products!$A$6:$B$110,2,FALSE),"INVALID SKU"))</x:f>
      </x:c>
      <x:c r="E263" s="20"/>
      <x:c r="F263" s="20"/>
      <x:c r="G263" s="20"/>
    </x:row>
    <x:row r="264" ht="22" customHeight="1">
      <x:c r="A264" s="20"/>
      <x:c r="B264" s="22"/>
      <x:c r="C264" s="20"/>
      <x:c r="D264" t="str">
        <x:f>IF(C264="","",IFERROR(VLOOKUP(C264,Products!$A$6:$B$110,2,FALSE),"INVALID SKU"))</x:f>
      </x:c>
      <x:c r="E264" s="20"/>
      <x:c r="F264" s="20"/>
      <x:c r="G264" s="20"/>
    </x:row>
    <x:row r="265" ht="22" customHeight="1">
      <x:c r="A265" s="20"/>
      <x:c r="B265" s="22"/>
      <x:c r="C265" s="20"/>
      <x:c r="D265" t="str">
        <x:f>IF(C265="","",IFERROR(VLOOKUP(C265,Products!$A$6:$B$110,2,FALSE),"INVALID SKU"))</x:f>
      </x:c>
      <x:c r="E265" s="20"/>
      <x:c r="F265" s="20"/>
      <x:c r="G265" s="20"/>
    </x:row>
    <x:row r="266" ht="22" customHeight="1">
      <x:c r="A266" s="20"/>
      <x:c r="B266" s="22"/>
      <x:c r="C266" s="20"/>
      <x:c r="D266" t="str">
        <x:f>IF(C266="","",IFERROR(VLOOKUP(C266,Products!$A$6:$B$110,2,FALSE),"INVALID SKU"))</x:f>
      </x:c>
      <x:c r="E266" s="20"/>
      <x:c r="F266" s="20"/>
      <x:c r="G266" s="20"/>
    </x:row>
    <x:row r="267" ht="22" customHeight="1">
      <x:c r="A267" s="20"/>
      <x:c r="B267" s="22"/>
      <x:c r="C267" s="20"/>
      <x:c r="D267" t="str">
        <x:f>IF(C267="","",IFERROR(VLOOKUP(C267,Products!$A$6:$B$110,2,FALSE),"INVALID SKU"))</x:f>
      </x:c>
      <x:c r="E267" s="20"/>
      <x:c r="F267" s="20"/>
      <x:c r="G267" s="20"/>
    </x:row>
    <x:row r="268" ht="22" customHeight="1">
      <x:c r="A268" s="20"/>
      <x:c r="B268" s="22"/>
      <x:c r="C268" s="20"/>
      <x:c r="D268" t="str">
        <x:f>IF(C268="","",IFERROR(VLOOKUP(C268,Products!$A$6:$B$110,2,FALSE),"INVALID SKU"))</x:f>
      </x:c>
      <x:c r="E268" s="20"/>
      <x:c r="F268" s="20"/>
      <x:c r="G268" s="20"/>
    </x:row>
    <x:row r="269" ht="22" customHeight="1">
      <x:c r="A269" s="20"/>
      <x:c r="B269" s="22"/>
      <x:c r="C269" s="20"/>
      <x:c r="D269" t="str">
        <x:f>IF(C269="","",IFERROR(VLOOKUP(C269,Products!$A$6:$B$110,2,FALSE),"INVALID SKU"))</x:f>
      </x:c>
      <x:c r="E269" s="20"/>
      <x:c r="F269" s="20"/>
      <x:c r="G269" s="20"/>
    </x:row>
    <x:row r="270" ht="22" customHeight="1">
      <x:c r="A270" s="20"/>
      <x:c r="B270" s="22"/>
      <x:c r="C270" s="20"/>
      <x:c r="D270" t="str">
        <x:f>IF(C270="","",IFERROR(VLOOKUP(C270,Products!$A$6:$B$110,2,FALSE),"INVALID SKU"))</x:f>
      </x:c>
      <x:c r="E270" s="20"/>
      <x:c r="F270" s="20"/>
      <x:c r="G270" s="20"/>
    </x:row>
    <x:row r="271" ht="22" customHeight="1">
      <x:c r="A271" s="20"/>
      <x:c r="B271" s="22"/>
      <x:c r="C271" s="20"/>
      <x:c r="D271" t="str">
        <x:f>IF(C271="","",IFERROR(VLOOKUP(C271,Products!$A$6:$B$110,2,FALSE),"INVALID SKU"))</x:f>
      </x:c>
      <x:c r="E271" s="20"/>
      <x:c r="F271" s="20"/>
      <x:c r="G271" s="20"/>
    </x:row>
    <x:row r="272" ht="22" customHeight="1">
      <x:c r="A272" s="20"/>
      <x:c r="B272" s="22"/>
      <x:c r="C272" s="20"/>
      <x:c r="D272" t="str">
        <x:f>IF(C272="","",IFERROR(VLOOKUP(C272,Products!$A$6:$B$110,2,FALSE),"INVALID SKU"))</x:f>
      </x:c>
      <x:c r="E272" s="20"/>
      <x:c r="F272" s="20"/>
      <x:c r="G272" s="20"/>
    </x:row>
    <x:row r="273" ht="22" customHeight="1">
      <x:c r="A273" s="20"/>
      <x:c r="B273" s="22"/>
      <x:c r="C273" s="20"/>
      <x:c r="D273" t="str">
        <x:f>IF(C273="","",IFERROR(VLOOKUP(C273,Products!$A$6:$B$110,2,FALSE),"INVALID SKU"))</x:f>
      </x:c>
      <x:c r="E273" s="20"/>
      <x:c r="F273" s="20"/>
      <x:c r="G273" s="20"/>
    </x:row>
    <x:row r="274" ht="22" customHeight="1">
      <x:c r="A274" s="20"/>
      <x:c r="B274" s="22"/>
      <x:c r="C274" s="20"/>
      <x:c r="D274" t="str">
        <x:f>IF(C274="","",IFERROR(VLOOKUP(C274,Products!$A$6:$B$110,2,FALSE),"INVALID SKU"))</x:f>
      </x:c>
      <x:c r="E274" s="20"/>
      <x:c r="F274" s="20"/>
      <x:c r="G274" s="20"/>
    </x:row>
    <x:row r="275" ht="22" customHeight="1">
      <x:c r="A275" s="20"/>
      <x:c r="B275" s="22"/>
      <x:c r="C275" s="20"/>
      <x:c r="D275" t="str">
        <x:f>IF(C275="","",IFERROR(VLOOKUP(C275,Products!$A$6:$B$110,2,FALSE),"INVALID SKU"))</x:f>
      </x:c>
      <x:c r="E275" s="20"/>
      <x:c r="F275" s="20"/>
      <x:c r="G275" s="20"/>
    </x:row>
    <x:row r="276" ht="22" customHeight="1">
      <x:c r="A276" s="20"/>
      <x:c r="B276" s="22"/>
      <x:c r="C276" s="20"/>
      <x:c r="D276" t="str">
        <x:f>IF(C276="","",IFERROR(VLOOKUP(C276,Products!$A$6:$B$110,2,FALSE),"INVALID SKU"))</x:f>
      </x:c>
      <x:c r="E276" s="20"/>
      <x:c r="F276" s="20"/>
      <x:c r="G276" s="20"/>
    </x:row>
    <x:row r="277" ht="22" customHeight="1">
      <x:c r="A277" s="20"/>
      <x:c r="B277" s="22"/>
      <x:c r="C277" s="20"/>
      <x:c r="D277" t="str">
        <x:f>IF(C277="","",IFERROR(VLOOKUP(C277,Products!$A$6:$B$110,2,FALSE),"INVALID SKU"))</x:f>
      </x:c>
      <x:c r="E277" s="20"/>
      <x:c r="F277" s="20"/>
      <x:c r="G277" s="20"/>
    </x:row>
    <x:row r="278" ht="22" customHeight="1">
      <x:c r="A278" s="20"/>
      <x:c r="B278" s="22"/>
      <x:c r="C278" s="20"/>
      <x:c r="D278" t="str">
        <x:f>IF(C278="","",IFERROR(VLOOKUP(C278,Products!$A$6:$B$110,2,FALSE),"INVALID SKU"))</x:f>
      </x:c>
      <x:c r="E278" s="20"/>
      <x:c r="F278" s="20"/>
      <x:c r="G278" s="20"/>
    </x:row>
    <x:row r="279" ht="22" customHeight="1">
      <x:c r="A279" s="20"/>
      <x:c r="B279" s="22"/>
      <x:c r="C279" s="20"/>
      <x:c r="D279" t="str">
        <x:f>IF(C279="","",IFERROR(VLOOKUP(C279,Products!$A$6:$B$110,2,FALSE),"INVALID SKU"))</x:f>
      </x:c>
      <x:c r="E279" s="20"/>
      <x:c r="F279" s="20"/>
      <x:c r="G279" s="20"/>
    </x:row>
    <x:row r="280" ht="22" customHeight="1">
      <x:c r="A280" s="20"/>
      <x:c r="B280" s="22"/>
      <x:c r="C280" s="20"/>
      <x:c r="D280" t="str">
        <x:f>IF(C280="","",IFERROR(VLOOKUP(C280,Products!$A$6:$B$110,2,FALSE),"INVALID SKU"))</x:f>
      </x:c>
      <x:c r="E280" s="20"/>
      <x:c r="F280" s="20"/>
      <x:c r="G280" s="20"/>
    </x:row>
    <x:row r="281" ht="22" customHeight="1">
      <x:c r="A281" s="20"/>
      <x:c r="B281" s="22"/>
      <x:c r="C281" s="20"/>
      <x:c r="D281" t="str">
        <x:f>IF(C281="","",IFERROR(VLOOKUP(C281,Products!$A$6:$B$110,2,FALSE),"INVALID SKU"))</x:f>
      </x:c>
      <x:c r="E281" s="20"/>
      <x:c r="F281" s="20"/>
      <x:c r="G281" s="20"/>
    </x:row>
    <x:row r="282" ht="22" customHeight="1">
      <x:c r="A282" s="20"/>
      <x:c r="B282" s="22"/>
      <x:c r="C282" s="20"/>
      <x:c r="D282" t="str">
        <x:f>IF(C282="","",IFERROR(VLOOKUP(C282,Products!$A$6:$B$110,2,FALSE),"INVALID SKU"))</x:f>
      </x:c>
      <x:c r="E282" s="20"/>
      <x:c r="F282" s="20"/>
      <x:c r="G282" s="20"/>
    </x:row>
    <x:row r="283" ht="22" customHeight="1">
      <x:c r="A283" s="20"/>
      <x:c r="B283" s="22"/>
      <x:c r="C283" s="20"/>
      <x:c r="D283" t="str">
        <x:f>IF(C283="","",IFERROR(VLOOKUP(C283,Products!$A$6:$B$110,2,FALSE),"INVALID SKU"))</x:f>
      </x:c>
      <x:c r="E283" s="20"/>
      <x:c r="F283" s="20"/>
      <x:c r="G283" s="20"/>
    </x:row>
    <x:row r="284" ht="22" customHeight="1">
      <x:c r="A284" s="20"/>
      <x:c r="B284" s="22"/>
      <x:c r="C284" s="20"/>
      <x:c r="D284" t="str">
        <x:f>IF(C284="","",IFERROR(VLOOKUP(C284,Products!$A$6:$B$110,2,FALSE),"INVALID SKU"))</x:f>
      </x:c>
      <x:c r="E284" s="20"/>
      <x:c r="F284" s="20"/>
      <x:c r="G284" s="20"/>
    </x:row>
    <x:row r="285" ht="22" customHeight="1">
      <x:c r="A285" s="20"/>
      <x:c r="B285" s="22"/>
      <x:c r="C285" s="20"/>
      <x:c r="D285" t="str">
        <x:f>IF(C285="","",IFERROR(VLOOKUP(C285,Products!$A$6:$B$110,2,FALSE),"INVALID SKU"))</x:f>
      </x:c>
      <x:c r="E285" s="20"/>
      <x:c r="F285" s="20"/>
      <x:c r="G285" s="20"/>
    </x:row>
    <x:row r="286" ht="22" customHeight="1">
      <x:c r="A286" s="20"/>
      <x:c r="B286" s="22"/>
      <x:c r="C286" s="20"/>
      <x:c r="D286" t="str">
        <x:f>IF(C286="","",IFERROR(VLOOKUP(C286,Products!$A$6:$B$110,2,FALSE),"INVALID SKU"))</x:f>
      </x:c>
      <x:c r="E286" s="20"/>
      <x:c r="F286" s="20"/>
      <x:c r="G286" s="20"/>
    </x:row>
    <x:row r="287" ht="22" customHeight="1">
      <x:c r="A287" s="20"/>
      <x:c r="B287" s="22"/>
      <x:c r="C287" s="20"/>
      <x:c r="D287" t="str">
        <x:f>IF(C287="","",IFERROR(VLOOKUP(C287,Products!$A$6:$B$110,2,FALSE),"INVALID SKU"))</x:f>
      </x:c>
      <x:c r="E287" s="20"/>
      <x:c r="F287" s="20"/>
      <x:c r="G287" s="20"/>
    </x:row>
    <x:row r="288" ht="22" customHeight="1">
      <x:c r="A288" s="20"/>
      <x:c r="B288" s="22"/>
      <x:c r="C288" s="20"/>
      <x:c r="D288" t="str">
        <x:f>IF(C288="","",IFERROR(VLOOKUP(C288,Products!$A$6:$B$110,2,FALSE),"INVALID SKU"))</x:f>
      </x:c>
      <x:c r="E288" s="20"/>
      <x:c r="F288" s="20"/>
      <x:c r="G288" s="20"/>
    </x:row>
    <x:row r="289" ht="22" customHeight="1">
      <x:c r="A289" s="20"/>
      <x:c r="B289" s="22"/>
      <x:c r="C289" s="20"/>
      <x:c r="D289" t="str">
        <x:f>IF(C289="","",IFERROR(VLOOKUP(C289,Products!$A$6:$B$110,2,FALSE),"INVALID SKU"))</x:f>
      </x:c>
      <x:c r="E289" s="20"/>
      <x:c r="F289" s="20"/>
      <x:c r="G289" s="20"/>
    </x:row>
    <x:row r="290" ht="22" customHeight="1">
      <x:c r="A290" s="20"/>
      <x:c r="B290" s="22"/>
      <x:c r="C290" s="20"/>
      <x:c r="D290" t="str">
        <x:f>IF(C290="","",IFERROR(VLOOKUP(C290,Products!$A$6:$B$110,2,FALSE),"INVALID SKU"))</x:f>
      </x:c>
      <x:c r="E290" s="20"/>
      <x:c r="F290" s="20"/>
      <x:c r="G290" s="20"/>
    </x:row>
    <x:row r="291" ht="22" customHeight="1">
      <x:c r="A291" s="20"/>
      <x:c r="B291" s="22"/>
      <x:c r="C291" s="20"/>
      <x:c r="D291" t="str">
        <x:f>IF(C291="","",IFERROR(VLOOKUP(C291,Products!$A$6:$B$110,2,FALSE),"INVALID SKU"))</x:f>
      </x:c>
      <x:c r="E291" s="20"/>
      <x:c r="F291" s="20"/>
      <x:c r="G291" s="20"/>
    </x:row>
    <x:row r="292" ht="22" customHeight="1">
      <x:c r="A292" s="20"/>
      <x:c r="B292" s="22"/>
      <x:c r="C292" s="20"/>
      <x:c r="D292" t="str">
        <x:f>IF(C292="","",IFERROR(VLOOKUP(C292,Products!$A$6:$B$110,2,FALSE),"INVALID SKU"))</x:f>
      </x:c>
      <x:c r="E292" s="20"/>
      <x:c r="F292" s="20"/>
      <x:c r="G292" s="20"/>
    </x:row>
    <x:row r="293" ht="22" customHeight="1">
      <x:c r="A293" s="20"/>
      <x:c r="B293" s="22"/>
      <x:c r="C293" s="20"/>
      <x:c r="D293" t="str">
        <x:f>IF(C293="","",IFERROR(VLOOKUP(C293,Products!$A$6:$B$110,2,FALSE),"INVALID SKU"))</x:f>
      </x:c>
      <x:c r="E293" s="20"/>
      <x:c r="F293" s="20"/>
      <x:c r="G293" s="20"/>
    </x:row>
    <x:row r="294" ht="22" customHeight="1">
      <x:c r="A294" s="20"/>
      <x:c r="B294" s="22"/>
      <x:c r="C294" s="20"/>
      <x:c r="D294" t="str">
        <x:f>IF(C294="","",IFERROR(VLOOKUP(C294,Products!$A$6:$B$110,2,FALSE),"INVALID SKU"))</x:f>
      </x:c>
      <x:c r="E294" s="20"/>
      <x:c r="F294" s="20"/>
      <x:c r="G294" s="20"/>
    </x:row>
    <x:row r="295" ht="22" customHeight="1">
      <x:c r="A295" s="20"/>
      <x:c r="B295" s="22"/>
      <x:c r="C295" s="20"/>
      <x:c r="D295" t="str">
        <x:f>IF(C295="","",IFERROR(VLOOKUP(C295,Products!$A$6:$B$110,2,FALSE),"INVALID SKU"))</x:f>
      </x:c>
      <x:c r="E295" s="20"/>
      <x:c r="F295" s="20"/>
      <x:c r="G295" s="20"/>
    </x:row>
    <x:row r="296" ht="22" customHeight="1">
      <x:c r="A296" s="20"/>
      <x:c r="B296" s="22"/>
      <x:c r="C296" s="20"/>
      <x:c r="D296" t="str">
        <x:f>IF(C296="","",IFERROR(VLOOKUP(C296,Products!$A$6:$B$110,2,FALSE),"INVALID SKU"))</x:f>
      </x:c>
      <x:c r="E296" s="20"/>
      <x:c r="F296" s="20"/>
      <x:c r="G296" s="20"/>
    </x:row>
    <x:row r="297" ht="22" customHeight="1">
      <x:c r="A297" s="20"/>
      <x:c r="B297" s="22"/>
      <x:c r="C297" s="20"/>
      <x:c r="D297" t="str">
        <x:f>IF(C297="","",IFERROR(VLOOKUP(C297,Products!$A$6:$B$110,2,FALSE),"INVALID SKU"))</x:f>
      </x:c>
      <x:c r="E297" s="20"/>
      <x:c r="F297" s="20"/>
      <x:c r="G297" s="20"/>
    </x:row>
    <x:row r="298" ht="22" customHeight="1">
      <x:c r="A298" s="20"/>
      <x:c r="B298" s="22"/>
      <x:c r="C298" s="20"/>
      <x:c r="D298" t="str">
        <x:f>IF(C298="","",IFERROR(VLOOKUP(C298,Products!$A$6:$B$110,2,FALSE),"INVALID SKU"))</x:f>
      </x:c>
      <x:c r="E298" s="20"/>
      <x:c r="F298" s="20"/>
      <x:c r="G298" s="20"/>
    </x:row>
    <x:row r="299" ht="22" customHeight="1">
      <x:c r="A299" s="20"/>
      <x:c r="B299" s="22"/>
      <x:c r="C299" s="20"/>
      <x:c r="D299" t="str">
        <x:f>IF(C299="","",IFERROR(VLOOKUP(C299,Products!$A$6:$B$110,2,FALSE),"INVALID SKU"))</x:f>
      </x:c>
      <x:c r="E299" s="20"/>
      <x:c r="F299" s="20"/>
      <x:c r="G299" s="20"/>
    </x:row>
    <x:row r="300" ht="22" customHeight="1">
      <x:c r="A300" s="20"/>
      <x:c r="B300" s="22"/>
      <x:c r="C300" s="20"/>
      <x:c r="D300" t="str">
        <x:f>IF(C300="","",IFERROR(VLOOKUP(C300,Products!$A$6:$B$110,2,FALSE),"INVALID SKU"))</x:f>
      </x:c>
      <x:c r="E300" s="20"/>
      <x:c r="F300" s="20"/>
      <x:c r="G300" s="20"/>
    </x:row>
    <x:row r="301" ht="22" customHeight="1">
      <x:c r="A301" s="20"/>
      <x:c r="B301" s="22"/>
      <x:c r="C301" s="20"/>
      <x:c r="D301" t="str">
        <x:f>IF(C301="","",IFERROR(VLOOKUP(C301,Products!$A$6:$B$110,2,FALSE),"INVALID SKU"))</x:f>
      </x:c>
      <x:c r="E301" s="20"/>
      <x:c r="F301" s="20"/>
      <x:c r="G301" s="20"/>
    </x:row>
    <x:row r="302" ht="22" customHeight="1">
      <x:c r="A302" s="20"/>
      <x:c r="B302" s="22"/>
      <x:c r="C302" s="20"/>
      <x:c r="D302" t="str">
        <x:f>IF(C302="","",IFERROR(VLOOKUP(C302,Products!$A$6:$B$110,2,FALSE),"INVALID SKU"))</x:f>
      </x:c>
      <x:c r="E302" s="20"/>
      <x:c r="F302" s="20"/>
      <x:c r="G302" s="20"/>
    </x:row>
    <x:row r="303" ht="22" customHeight="1">
      <x:c r="A303" s="20"/>
      <x:c r="B303" s="22"/>
      <x:c r="C303" s="20"/>
      <x:c r="D303" t="str">
        <x:f>IF(C303="","",IFERROR(VLOOKUP(C303,Products!$A$6:$B$110,2,FALSE),"INVALID SKU"))</x:f>
      </x:c>
      <x:c r="E303" s="20"/>
      <x:c r="F303" s="20"/>
      <x:c r="G303" s="20"/>
    </x:row>
    <x:row r="304" ht="22" customHeight="1">
      <x:c r="A304" s="20"/>
      <x:c r="B304" s="22"/>
      <x:c r="C304" s="20"/>
      <x:c r="D304" t="str">
        <x:f>IF(C304="","",IFERROR(VLOOKUP(C304,Products!$A$6:$B$110,2,FALSE),"INVALID SKU"))</x:f>
      </x:c>
      <x:c r="E304" s="20"/>
      <x:c r="F304" s="20"/>
      <x:c r="G304" s="20"/>
    </x:row>
    <x:row r="305" ht="22" customHeight="1">
      <x:c r="A305" s="20"/>
      <x:c r="B305" s="22"/>
      <x:c r="C305" s="20"/>
      <x:c r="D305" t="str">
        <x:f>IF(C305="","",IFERROR(VLOOKUP(C305,Products!$A$6:$B$110,2,FALSE),"INVALID SKU"))</x:f>
      </x:c>
      <x:c r="E305" s="20"/>
      <x:c r="F305" s="20"/>
      <x:c r="G305" s="20"/>
    </x:row>
  </x:sheetData>
  <x:mergeCells>
    <x:mergeCell ref="A1:G2"/>
    <x:mergeCell ref="A3:G3"/>
  </x:mergeCells>
  <x:dataValidations count="1">
    <x:dataValidation type="list" sqref="F6:F305">
      <x:formula1>"Received,Return,Damaged,Correction,Other"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25" hidden="0" customWidth="1"/>
    <x:col min="5" max="5" width="19" hidden="0" customWidth="1"/>
    <x:col min="6" max="6" width="32" hidden="0" customWidth="1"/>
    <x:col min="7" max="7" width="12" hidden="0" customWidth="1"/>
    <x:col min="8" max="8" width="19" hidden="0" customWidth="1"/>
    <x:col min="9" max="9" width="19" hidden="0" customWidth="1"/>
    <x:col min="10" max="10" width="18" hidden="0" customWidth="1"/>
    <x:col min="11" max="11" width="18" hidden="0" customWidth="1"/>
    <x:col min="12" max="12" width="33" hidden="0" customWidth="1"/>
  </x:cols>
  <x:sheetData>
    <x:row r="1" ht="25" customHeight="1">
      <x:c r="A1" s="3" t="str">
        <x:v>CUSTOMER PURCHASE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2" t="str">
        <x:v>Type a Customer ID in B5 to display contact information and all completed purchase lines (Excel 365 / 2021+).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5" ht="28" customHeight="1">
      <x:c r="A5" t="str">
        <x:v>Customer ID →</x:v>
      </x:c>
      <x:c r="B5" s="45"/>
      <x:c r="D5" t="str">
        <x:v>Customer</x:v>
      </x:c>
      <x:c r="E5" t="str">
        <x:f>IF(B5="","",IFERROR(VLOOKUP(B5,Customers!A6:J155,2,FALSE),"Unknown ID"))</x:f>
      </x:c>
      <x:c r="G5" t="str">
        <x:v>Phone</x:v>
      </x:c>
      <x:c r="H5" t="str">
        <x:f>IF(B5="","",IFERROR(VLOOKUP(B5,Customers!A6:J155,3,FALSE),""))</x:f>
      </x:c>
    </x:row>
    <x:row r="6">
      <x:c r="D6" t="str">
        <x:v>Email</x:v>
      </x:c>
      <x:c r="E6" t="str">
        <x:f>IF(B5="","",IFERROR(VLOOKUP(B5,Customers!A6:J155,4,FALSE),""))</x:f>
      </x:c>
      <x:c r="G6" t="str">
        <x:v>Lifetime sales</x:v>
      </x:c>
      <x:c r="H6" s="24" t="str">
        <x:f>IF(B5="","",SUMIFS(Sales!J6:J505,Sales!C6:C505,B5,Sales!K6:K505,"Completed"))</x:f>
      </x:c>
    </x:row>
    <x:row r="9" ht="27" customHeight="1">
      <x:c r="A9" s="13" t="str">
        <x:v>Order ID</x:v>
      </x:c>
      <x:c r="B9" s="13" t="str">
        <x:v>Date</x:v>
      </x:c>
      <x:c r="C9" s="13" t="str">
        <x:v>Customer ID</x:v>
      </x:c>
      <x:c r="D9" s="13" t="str">
        <x:v>Customer Name</x:v>
      </x:c>
      <x:c r="E9" s="13" t="str">
        <x:v>SKU</x:v>
      </x:c>
      <x:c r="F9" s="13" t="str">
        <x:v>Product Name</x:v>
      </x:c>
      <x:c r="G9" s="13" t="str">
        <x:v>Qty</x:v>
      </x:c>
      <x:c r="H9" s="13" t="str">
        <x:v>Current Price</x:v>
      </x:c>
      <x:c r="I9" s="13" t="str">
        <x:v>Sale Unit Price</x:v>
      </x:c>
      <x:c r="J9" s="13" t="str">
        <x:v>Line Total</x:v>
      </x:c>
      <x:c r="K9" s="13" t="str">
        <x:v>Status</x:v>
      </x:c>
      <x:c r="L9" s="13" t="str">
        <x:v>Notes</x:v>
      </x:c>
    </x:row>
    <x:row r="10">
      <x:c r="A10" t="str">
        <x:f>IF($B$5="","Enter a Customer ID above",_xlfn._xlws.FILTER(Sales!A6:L505,(Sales!C6:C505=$B$5)*(Sales!K6:K505="Completed"),"No completed purchases for this customer"))</x:f>
        <x:v>Enter a Customer ID above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7" hidden="0" customWidth="1"/>
    <x:col min="3" max="3" width="58" hidden="0" customWidth="1"/>
  </x:cols>
  <x:sheetData>
    <x:row r="1">
      <x:c r="A1" s="30" t="str">
        <x:v>Order statuses</x:v>
      </x:c>
      <x:c r="B1" s="30" t="str">
        <x:v>Stock movement types</x:v>
      </x:c>
      <x:c r="C1" s="30" t="str">
        <x:v>Editing rule</x:v>
      </x:c>
    </x:row>
    <x:row r="2">
      <x:c r="A2" t="str">
        <x:v>Pending</x:v>
      </x:c>
      <x:c r="B2" t="str">
        <x:v>Received</x:v>
      </x:c>
      <x:c r="C2" t="str">
        <x:v>1. Add customers and products</x:v>
      </x:c>
    </x:row>
    <x:row r="3">
      <x:c r="A3" t="str">
        <x:v>Completed</x:v>
      </x:c>
      <x:c r="B3" t="str">
        <x:v>Return</x:v>
      </x:c>
      <x:c r="C3" t="str">
        <x:v>2. Enter each sale line as an order</x:v>
      </x:c>
    </x:row>
    <x:row r="4">
      <x:c r="A4" t="str">
        <x:v>Cancelled</x:v>
      </x:c>
      <x:c r="B4" t="str">
        <x:v>Damaged</x:v>
      </x:c>
      <x:c r="C4" t="str">
        <x:v>3. Copy Current Price into Sale Unit Price as VALUES</x:v>
      </x:c>
    </x:row>
    <x:row r="5">
      <x:c r="B5" t="str">
        <x:v>Correction</x:v>
      </x:c>
      <x:c r="C5" t="str">
        <x:v>4. Mark Completed to deduct stock</x:v>
      </x:c>
    </x:row>
    <x:row r="6">
      <x:c r="B6" t="str">
        <x:v>Other</x:v>
      </x:c>
    </x:row>
  </x:sheetData>
  <x:pageMargins left="0.7" right="0.7" top="0.75" bottom="0.75" header="0.3" footer="0.3"/>
</x:worksheet>
</file>